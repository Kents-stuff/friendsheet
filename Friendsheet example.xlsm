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entbutt/Desktop/Friendsheet/"/>
    </mc:Choice>
  </mc:AlternateContent>
  <xr:revisionPtr revIDLastSave="0" documentId="13_ncr:1_{29E01AF0-2A65-D945-8608-3D93F066AFB4}" xr6:coauthVersionLast="47" xr6:coauthVersionMax="47" xr10:uidLastSave="{00000000-0000-0000-0000-000000000000}"/>
  <bookViews>
    <workbookView xWindow="5280" yWindow="500" windowWidth="21780" windowHeight="17500" xr2:uid="{18625A81-D3FE-B14E-95D7-A15A0D2DCBA0}"/>
  </bookViews>
  <sheets>
    <sheet name="Friends" sheetId="1" r:id="rId1"/>
    <sheet name="Archived" sheetId="3" r:id="rId2"/>
    <sheet name="Settings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B8" i="1"/>
  <c r="B9" i="1"/>
  <c r="B10" i="1"/>
  <c r="B11" i="1"/>
  <c r="B12" i="1"/>
  <c r="B13" i="1"/>
  <c r="B14" i="1"/>
  <c r="B15" i="1"/>
  <c r="B16" i="1"/>
  <c r="A9" i="1"/>
  <c r="A10" i="1"/>
  <c r="A11" i="1"/>
  <c r="A12" i="1"/>
  <c r="A13" i="1"/>
  <c r="A14" i="1"/>
  <c r="A15" i="1"/>
  <c r="B2" i="1"/>
  <c r="B3" i="1"/>
  <c r="B4" i="1"/>
  <c r="B5" i="1"/>
  <c r="B6" i="1"/>
  <c r="B7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E2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A5" i="1"/>
  <c r="A6" i="1"/>
  <c r="A7" i="1"/>
  <c r="A8" i="1"/>
  <c r="A2" i="1"/>
  <c r="A4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F2" i="2" l="1"/>
</calcChain>
</file>

<file path=xl/sharedStrings.xml><?xml version="1.0" encoding="utf-8"?>
<sst xmlns="http://schemas.openxmlformats.org/spreadsheetml/2006/main" count="77" uniqueCount="68">
  <si>
    <t>Name (Preferred)</t>
  </si>
  <si>
    <t>Name (Last)</t>
  </si>
  <si>
    <t>Name (Alternate)</t>
  </si>
  <si>
    <t>My City?</t>
  </si>
  <si>
    <t>Date of Last Hangout</t>
  </si>
  <si>
    <t>Preferred Contact Method</t>
  </si>
  <si>
    <t>Phone</t>
  </si>
  <si>
    <t>Email</t>
  </si>
  <si>
    <t>Other Contact</t>
  </si>
  <si>
    <t>Mutual Friends</t>
  </si>
  <si>
    <t>How we met</t>
  </si>
  <si>
    <t>Convo Starters: Topics &amp; Interests</t>
  </si>
  <si>
    <t>Professional Info</t>
  </si>
  <si>
    <t>Important Dates</t>
  </si>
  <si>
    <t>Birthday</t>
  </si>
  <si>
    <t>Last Convo Notes</t>
  </si>
  <si>
    <t>Other Notes</t>
  </si>
  <si>
    <t>Names of other people in their life</t>
  </si>
  <si>
    <t>Dietary Preferences</t>
  </si>
  <si>
    <t>Country</t>
  </si>
  <si>
    <t>City</t>
  </si>
  <si>
    <t>My City</t>
  </si>
  <si>
    <t>My Country</t>
  </si>
  <si>
    <t>Time Decay</t>
  </si>
  <si>
    <t>Last Contacted</t>
  </si>
  <si>
    <t>Days Since Last Contact</t>
  </si>
  <si>
    <t>Contact Tempo</t>
  </si>
  <si>
    <t>Presto</t>
  </si>
  <si>
    <t>Allegro</t>
  </si>
  <si>
    <t>Moderato</t>
  </si>
  <si>
    <t>Largo</t>
  </si>
  <si>
    <t>Rubato</t>
  </si>
  <si>
    <t>CountryCity</t>
  </si>
  <si>
    <t>Adam</t>
  </si>
  <si>
    <t>Smith</t>
  </si>
  <si>
    <t>The Invisible Hand</t>
  </si>
  <si>
    <t>UK</t>
  </si>
  <si>
    <t>Edinburgh</t>
  </si>
  <si>
    <t>1740-06-14</t>
  </si>
  <si>
    <t>Letter</t>
  </si>
  <si>
    <t>@invisiblehand</t>
  </si>
  <si>
    <t>Moral Philosophy</t>
  </si>
  <si>
    <t>Riccardo</t>
  </si>
  <si>
    <t>Crescenzi</t>
  </si>
  <si>
    <t>London</t>
  </si>
  <si>
    <t>r.crescenzi@lse.ac.uk</t>
  </si>
  <si>
    <t>https://www.lse.ac.uk/geography-and-environment/people/academic-staff/riccardo-crescenzi</t>
  </si>
  <si>
    <t>GY410</t>
  </si>
  <si>
    <t>FDI, Innovation</t>
  </si>
  <si>
    <t>My Timezone</t>
  </si>
  <si>
    <t>Helper CountryCity</t>
  </si>
  <si>
    <t>Uk</t>
  </si>
  <si>
    <t>Helper Contact Tempo</t>
  </si>
  <si>
    <t>Never</t>
  </si>
  <si>
    <t>Macros:</t>
  </si>
  <si>
    <t>Timezones will automatically fill in the names of new cities, however their timezone will have to be added manually</t>
  </si>
  <si>
    <t>in Friends table with dates typing the following will autofill: today, now, tommorrow, yesterday, last week, last month, next week</t>
  </si>
  <si>
    <t>Requires Macros to run. I promise my spreadsheet isn't trying to hack you :)</t>
  </si>
  <si>
    <t>Names get highlighted when it's been longer than a given temp since last contact</t>
  </si>
  <si>
    <t>The OG</t>
  </si>
  <si>
    <t>Fiscal policy</t>
  </si>
  <si>
    <t>John</t>
  </si>
  <si>
    <t>Keynes</t>
  </si>
  <si>
    <t>Cambridge</t>
  </si>
  <si>
    <t>Prof. of Economic Geography, LSE</t>
  </si>
  <si>
    <t>Evolution of Economic thought is an excellent read if you want an overview of the history of economics</t>
  </si>
  <si>
    <t>Fun Fact: Adam Smith wrote a book on Astronomy!</t>
  </si>
  <si>
    <t>Prof. Crescenzi is launching (and recruiting for) LSE's MSc in Innovation Policy. If you are interested, contact him or check this link https://www.lse.ac.uk/study-at-lse/graduate/msc-innovation-policy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</si>
</sst>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4"/>
      <color rgb="FF3A3D3F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8"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877CA9-A7BB-5041-A34B-41593099027C}" name="Table1" displayName="Table1" ref="A1:Z350" totalsRowShown="0" headerRowDxfId="6">
  <autoFilter ref="A1:Z350" xr:uid="{3C877CA9-A7BB-5041-A34B-41593099027C}"/>
  <tableColumns count="26">
    <tableColumn id="1" xr3:uid="{DBBFA8F7-C52B-0B4F-96B3-2BC4B0B32C0B}" name="Days Since Last Contact" dataDxfId="5">
      <calculatedColumnFormula>IF(K2="","",TODAY()-Table1[[#This Row],[Last Contacted]])</calculatedColumnFormula>
    </tableColumn>
    <tableColumn id="37" xr3:uid="{BEE018FC-8870-824A-85E0-2C2450B63E06}" name="Helper Contact Tempo" dataDxfId="4">
      <calculatedColumnFormula>_xlfn.XLOOKUP(Table1[[#This Row],[Contact Tempo]],Tempo[Contact Tempo],Tempo[Time Decay],"Never")</calculatedColumnFormula>
    </tableColumn>
    <tableColumn id="2" xr3:uid="{F3B48B10-1E12-9649-A081-35BF2C21FC25}" name="Name (Preferred)"/>
    <tableColumn id="3" xr3:uid="{3FE77C94-DF8F-1E45-9975-2724049F4FF2}" name="Name (Last)"/>
    <tableColumn id="4" xr3:uid="{EFF569C5-F748-DF4B-AA17-EBB96A42934E}" name="Name (Alternate)"/>
    <tableColumn id="5" xr3:uid="{71DCCD9C-81E4-D046-841B-1E6772D0C372}" name="Country" dataDxfId="3"/>
    <tableColumn id="6" xr3:uid="{21132848-AC18-6F4E-BA7B-8D8C94EEE626}" name="City"/>
    <tableColumn id="7" xr3:uid="{CC881C21-FB1B-D94D-8361-2C3CAD2E76BC}" name="My City?" dataDxfId="2">
      <calculatedColumnFormula>IF(ISBLANK(Table1[[#This Row],[City]]),"",IF(AND(Table1[[#This Row],[Country]]=Settings!$A$2, Table1[[#This Row],[City]]=Settings!$B$2),"Yes","No"))</calculatedColumnFormula>
    </tableColumn>
    <tableColumn id="32" xr3:uid="{92749F8B-18C0-F54C-8500-3017AAC1351A}" name="Helper CountryCity" dataDxfId="1">
      <calculatedColumnFormula>Table1[[#This Row],[Country]]&amp;Table1[[#This Row],[City]]</calculatedColumnFormula>
    </tableColumn>
    <tableColumn id="8" xr3:uid="{F6C63278-5FFF-5E4C-9DE7-3749A678F3D4}" name="Date of Last Hangout"/>
    <tableColumn id="9" xr3:uid="{82BDB199-1E22-4747-9794-FB7C0FD2A8C4}" name="Last Contacted" dataDxfId="0"/>
    <tableColumn id="10" xr3:uid="{062259B7-2618-EF46-BC4A-937AC5098D18}" name="Contact Tempo"/>
    <tableColumn id="11" xr3:uid="{074DA24E-573B-2348-8086-5C816BE0D330}" name="Preferred Contact Method"/>
    <tableColumn id="12" xr3:uid="{8D86AE9F-F825-C741-BAA2-B623FEDC2AE6}" name="Phone"/>
    <tableColumn id="13" xr3:uid="{F21D7904-768C-0641-829F-40DF175FC9FB}" name="Email"/>
    <tableColumn id="14" xr3:uid="{E6772DF0-9595-C642-A645-F157FE768D61}" name="Other Contact"/>
    <tableColumn id="18" xr3:uid="{A401A205-0E5F-6B4F-ADBB-8845A37E4C21}" name="How we met"/>
    <tableColumn id="19" xr3:uid="{C8A5B545-44E5-8D45-9251-2B26D1A701A7}" name="Mutual Friends"/>
    <tableColumn id="20" xr3:uid="{60FF3396-98B6-284B-8F8C-AD5BA07B5A2B}" name="Convo Starters: Topics &amp; Interests"/>
    <tableColumn id="21" xr3:uid="{C15DFBCD-E907-5E45-8E26-3C4A97215B7D}" name="Professional Info"/>
    <tableColumn id="22" xr3:uid="{A06FC500-FFCF-E940-801D-A0E14F1DE2A3}" name="Birthday"/>
    <tableColumn id="23" xr3:uid="{984F00E8-D998-3043-A268-B3EF356DF72B}" name="Dietary Preferences"/>
    <tableColumn id="24" xr3:uid="{A5D35562-946A-FC40-9CF4-2680029C6EFA}" name="Important Dates"/>
    <tableColumn id="25" xr3:uid="{83AB184D-2661-424B-89D1-5164FAA48B02}" name="Names of other people in their life"/>
    <tableColumn id="26" xr3:uid="{E072ECF7-DAD1-8748-8B00-E5013FD0E608}" name="Last Convo Notes"/>
    <tableColumn id="27" xr3:uid="{67BBBA64-72DC-4749-AB4F-BA5F6DADBC8E}" name="Other Notes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E18A8-568B-D441-9BB5-2818A0E69844}" name="Tempo" displayName="Tempo" ref="C1:D6" totalsRowShown="0">
  <autoFilter ref="C1:D6" xr:uid="{FA6E18A8-568B-D441-9BB5-2818A0E69844}"/>
  <tableColumns count="2">
    <tableColumn id="1" xr3:uid="{C5078F02-2D73-2441-AA75-9B18EA6AA929}" name="Contact Tempo"/>
    <tableColumn id="2" xr3:uid="{50870879-F44A-424E-8152-1175167D623A}" name="Time Decay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r.crescenzi@lse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7026-AE5D-8D48-9885-17A75CBF5B1D}">
  <sheetPr codeName="Sheet1"/>
  <dimension ref="A1:Z350"/>
  <sheetViews>
    <sheetView tabSelected="1" topLeftCell="X1" workbookViewId="0">
      <pane ySplit="1" topLeftCell="A2" activePane="bottomLeft" state="frozen"/>
      <selection pane="bottomLeft" activeCell="AE7" sqref="AE7"/>
    </sheetView>
  </sheetViews>
  <sheetFormatPr baseColWidth="10" defaultRowHeight="16" x14ac:dyDescent="0.2"/>
  <cols>
    <col min="1" max="1" width="22.83203125" style="4" customWidth="1"/>
    <col min="2" max="2" width="22.83203125" style="4" hidden="1" customWidth="1"/>
    <col min="3" max="3" width="17.5" customWidth="1"/>
    <col min="4" max="4" width="14.1640625" customWidth="1"/>
    <col min="5" max="5" width="17.5" customWidth="1"/>
    <col min="9" max="9" width="0" hidden="1" customWidth="1"/>
    <col min="10" max="10" width="20.1640625" customWidth="1"/>
    <col min="11" max="11" width="20" customWidth="1"/>
    <col min="12" max="12" width="16.5" customWidth="1"/>
    <col min="13" max="13" width="24.5" customWidth="1"/>
    <col min="16" max="16" width="15.1640625" customWidth="1"/>
    <col min="17" max="17" width="13.33203125" customWidth="1"/>
    <col min="18" max="18" width="15.5" customWidth="1"/>
    <col min="19" max="19" width="30.5" customWidth="1"/>
    <col min="20" max="20" width="16.6640625" customWidth="1"/>
    <col min="22" max="22" width="19.5" customWidth="1"/>
    <col min="23" max="23" width="16.6640625" customWidth="1"/>
    <col min="24" max="24" width="30.33203125" customWidth="1"/>
    <col min="25" max="25" width="17.5" customWidth="1"/>
    <col min="26" max="26" width="13.33203125" customWidth="1"/>
  </cols>
  <sheetData>
    <row r="1" spans="1:26" s="1" customFormat="1" ht="51" x14ac:dyDescent="0.2">
      <c r="A1" s="3" t="s">
        <v>25</v>
      </c>
      <c r="B1" s="3" t="s">
        <v>52</v>
      </c>
      <c r="C1" s="1" t="s">
        <v>0</v>
      </c>
      <c r="D1" s="1" t="s">
        <v>1</v>
      </c>
      <c r="E1" s="1" t="s">
        <v>2</v>
      </c>
      <c r="F1" s="1" t="s">
        <v>19</v>
      </c>
      <c r="G1" s="1" t="s">
        <v>20</v>
      </c>
      <c r="H1" s="1" t="s">
        <v>3</v>
      </c>
      <c r="I1" s="1" t="s">
        <v>50</v>
      </c>
      <c r="J1" s="1" t="s">
        <v>4</v>
      </c>
      <c r="K1" s="1" t="s">
        <v>24</v>
      </c>
      <c r="L1" s="1" t="s">
        <v>26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10</v>
      </c>
      <c r="R1" s="1" t="s">
        <v>9</v>
      </c>
      <c r="S1" s="1" t="s">
        <v>11</v>
      </c>
      <c r="T1" s="1" t="s">
        <v>12</v>
      </c>
      <c r="U1" s="1" t="s">
        <v>14</v>
      </c>
      <c r="V1" s="1" t="s">
        <v>18</v>
      </c>
      <c r="W1" s="1" t="s">
        <v>13</v>
      </c>
      <c r="X1" s="1" t="s">
        <v>17</v>
      </c>
      <c r="Y1" s="1" t="s">
        <v>15</v>
      </c>
      <c r="Z1" s="1" t="s">
        <v>16</v>
      </c>
    </row>
    <row r="2" spans="1:26" x14ac:dyDescent="0.2">
      <c r="A2" s="4">
        <f ca="1">IF(K2="","",TODAY()-Table1[[#This Row],[Last Contacted]])</f>
        <v>45697</v>
      </c>
      <c r="B2" s="4">
        <f>_xlfn.XLOOKUP(Table1[[#This Row],[Contact Tempo]],Tempo[Contact Tempo],Tempo[Time Decay],"Never")</f>
        <v>7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tr">
        <f>IF(ISBLANK(Table1[[#This Row],[City]]),"",IF(AND(Table1[[#This Row],[Country]]=Settings!$A$2, Table1[[#This Row],[City]]=Settings!$B$2),"Yes","No"))</f>
        <v>No</v>
      </c>
      <c r="I2" t="str">
        <f>Table1[[#This Row],[Country]]&amp;Table1[[#This Row],[City]]</f>
        <v>UKEdinburgh</v>
      </c>
      <c r="J2" t="s">
        <v>38</v>
      </c>
      <c r="K2" s="2">
        <v>229</v>
      </c>
      <c r="L2" t="s">
        <v>28</v>
      </c>
      <c r="M2" t="s">
        <v>39</v>
      </c>
      <c r="O2" s="5"/>
      <c r="P2" t="s">
        <v>40</v>
      </c>
      <c r="Q2" t="s">
        <v>59</v>
      </c>
      <c r="S2" t="s">
        <v>41</v>
      </c>
      <c r="U2" s="2">
        <v>45889</v>
      </c>
      <c r="Z2" t="s">
        <v>66</v>
      </c>
    </row>
    <row r="3" spans="1:26" x14ac:dyDescent="0.2">
      <c r="A3" s="4">
        <f ca="1">IF(K3="","",TODAY()-Table1[[#This Row],[Last Contacted]])</f>
        <v>57</v>
      </c>
      <c r="B3" s="4">
        <f>_xlfn.XLOOKUP(Table1[[#This Row],[Contact Tempo]],Tempo[Contact Tempo],Tempo[Time Decay],"Never")</f>
        <v>4</v>
      </c>
      <c r="C3" t="s">
        <v>61</v>
      </c>
      <c r="D3" t="s">
        <v>62</v>
      </c>
      <c r="F3" t="s">
        <v>36</v>
      </c>
      <c r="G3" t="s">
        <v>63</v>
      </c>
      <c r="H3" t="str">
        <f>IF(ISBLANK(Table1[[#This Row],[City]]),"",IF(AND(Table1[[#This Row],[Country]]=Settings!$A$2, Table1[[#This Row],[City]]=Settings!$B$2),"Yes","No"))</f>
        <v>No</v>
      </c>
      <c r="I3" t="str">
        <f>Table1[[#This Row],[Country]]&amp;Table1[[#This Row],[City]]</f>
        <v>UKCambridge</v>
      </c>
      <c r="J3" s="2">
        <v>16913</v>
      </c>
      <c r="K3" s="2">
        <v>45869</v>
      </c>
      <c r="L3" t="s">
        <v>27</v>
      </c>
      <c r="M3" t="s">
        <v>7</v>
      </c>
      <c r="S3" t="s">
        <v>60</v>
      </c>
      <c r="U3" s="2">
        <v>45887</v>
      </c>
      <c r="Z3" t="s">
        <v>65</v>
      </c>
    </row>
    <row r="4" spans="1:26" ht="18" x14ac:dyDescent="0.2">
      <c r="A4" s="4">
        <f ca="1">IF(K4="","",TODAY()-Table1[[#This Row],[Last Contacted]])</f>
        <v>25</v>
      </c>
      <c r="B4" s="4">
        <f>_xlfn.XLOOKUP(Table1[[#This Row],[Contact Tempo]],Tempo[Contact Tempo],Tempo[Time Decay],"Never")</f>
        <v>90</v>
      </c>
      <c r="C4" t="s">
        <v>42</v>
      </c>
      <c r="D4" t="s">
        <v>43</v>
      </c>
      <c r="F4" t="s">
        <v>36</v>
      </c>
      <c r="G4" t="s">
        <v>44</v>
      </c>
      <c r="H4" t="str">
        <f>IF(ISBLANK(Table1[[#This Row],[City]]),"",IF(AND(Table1[[#This Row],[Country]]=Settings!$A$2, Table1[[#This Row],[City]]=Settings!$B$2),"Yes","No"))</f>
        <v>Yes</v>
      </c>
      <c r="I4" t="str">
        <f>Table1[[#This Row],[Country]]&amp;Table1[[#This Row],[City]]</f>
        <v>UKLondon</v>
      </c>
      <c r="J4" s="2">
        <v>45646</v>
      </c>
      <c r="K4" s="2">
        <v>45901</v>
      </c>
      <c r="L4" t="s">
        <v>30</v>
      </c>
      <c r="M4" t="s">
        <v>7</v>
      </c>
      <c r="N4" s="6"/>
      <c r="O4" s="5" t="s">
        <v>45</v>
      </c>
      <c r="P4" t="s">
        <v>46</v>
      </c>
      <c r="Q4" t="s">
        <v>47</v>
      </c>
      <c r="S4" t="s">
        <v>48</v>
      </c>
      <c r="T4" t="s">
        <v>64</v>
      </c>
      <c r="Z4" t="s">
        <v>67</v>
      </c>
    </row>
    <row r="5" spans="1:26" x14ac:dyDescent="0.2">
      <c r="A5" s="4" t="str">
        <f ca="1">IF(K5="","",TODAY()-Table1[[#This Row],[Last Contacted]])</f>
        <v/>
      </c>
      <c r="B5" s="4" t="str">
        <f>_xlfn.XLOOKUP(Table1[[#This Row],[Contact Tempo]],Tempo[Contact Tempo],Tempo[Time Decay],"Never")</f>
        <v>Never</v>
      </c>
      <c r="H5" t="str">
        <f>IF(ISBLANK(Table1[[#This Row],[City]]),"",IF(AND(Table1[[#This Row],[Country]]=Settings!$A$2, Table1[[#This Row],[City]]=Settings!$B$2),"Yes","No"))</f>
        <v/>
      </c>
      <c r="I5" t="str">
        <f>Table1[[#This Row],[Country]]&amp;Table1[[#This Row],[City]]</f>
        <v/>
      </c>
      <c r="K5" s="2"/>
    </row>
    <row r="6" spans="1:26" x14ac:dyDescent="0.2">
      <c r="A6" s="4" t="str">
        <f ca="1">IF(K6="","",TODAY()-Table1[[#This Row],[Last Contacted]])</f>
        <v/>
      </c>
      <c r="B6" s="4" t="str">
        <f>_xlfn.XLOOKUP(Table1[[#This Row],[Contact Tempo]],Tempo[Contact Tempo],Tempo[Time Decay],"Never")</f>
        <v>Never</v>
      </c>
      <c r="H6" t="str">
        <f>IF(ISBLANK(Table1[[#This Row],[City]]),"",IF(AND(Table1[[#This Row],[Country]]=Settings!$A$2, Table1[[#This Row],[City]]=Settings!$B$2),"Yes","No"))</f>
        <v/>
      </c>
      <c r="I6" t="str">
        <f>Table1[[#This Row],[Country]]&amp;Table1[[#This Row],[City]]</f>
        <v/>
      </c>
      <c r="K6" s="2"/>
    </row>
    <row r="7" spans="1:26" x14ac:dyDescent="0.2">
      <c r="A7" s="4" t="str">
        <f ca="1">IF(K7="","",TODAY()-Table1[[#This Row],[Last Contacted]])</f>
        <v/>
      </c>
      <c r="B7" s="4" t="str">
        <f>_xlfn.XLOOKUP(Table1[[#This Row],[Contact Tempo]],Tempo[Contact Tempo],Tempo[Time Decay],"Never")</f>
        <v>Never</v>
      </c>
      <c r="H7" t="str">
        <f>IF(ISBLANK(Table1[[#This Row],[City]]),"",IF(AND(Table1[[#This Row],[Country]]=Settings!$A$2, Table1[[#This Row],[City]]=Settings!$B$2),"Yes","No"))</f>
        <v/>
      </c>
      <c r="I7" t="str">
        <f>Table1[[#This Row],[Country]]&amp;Table1[[#This Row],[City]]</f>
        <v/>
      </c>
    </row>
    <row r="8" spans="1:26" x14ac:dyDescent="0.2">
      <c r="A8" s="4" t="str">
        <f ca="1">IF(K8="","",TODAY()-Table1[[#This Row],[Last Contacted]])</f>
        <v/>
      </c>
      <c r="B8" s="4" t="str">
        <f>_xlfn.XLOOKUP(Table1[[#This Row],[Contact Tempo]],Tempo[Contact Tempo],Tempo[Time Decay],"Never")</f>
        <v>Never</v>
      </c>
      <c r="H8" t="str">
        <f>IF(ISBLANK(Table1[[#This Row],[City]]),"",IF(AND(Table1[[#This Row],[Country]]=Settings!$A$2, Table1[[#This Row],[City]]=Settings!$B$2),"Yes","No"))</f>
        <v/>
      </c>
      <c r="I8" t="str">
        <f>Table1[[#This Row],[Country]]&amp;Table1[[#This Row],[City]]</f>
        <v/>
      </c>
    </row>
    <row r="9" spans="1:26" x14ac:dyDescent="0.2">
      <c r="A9" s="4" t="str">
        <f ca="1">IF(K9="","",TODAY()-Table1[[#This Row],[Last Contacted]])</f>
        <v/>
      </c>
      <c r="B9" s="4" t="str">
        <f>_xlfn.XLOOKUP(Table1[[#This Row],[Contact Tempo]],Tempo[Contact Tempo],Tempo[Time Decay],"Never")</f>
        <v>Never</v>
      </c>
      <c r="H9" t="str">
        <f>IF(ISBLANK(Table1[[#This Row],[City]]),"",IF(AND(Table1[[#This Row],[Country]]=Settings!$A$2, Table1[[#This Row],[City]]=Settings!$B$2),"Yes","No"))</f>
        <v/>
      </c>
      <c r="I9" t="str">
        <f>Table1[[#This Row],[Country]]&amp;Table1[[#This Row],[City]]</f>
        <v/>
      </c>
    </row>
    <row r="10" spans="1:26" x14ac:dyDescent="0.2">
      <c r="A10" s="4" t="str">
        <f ca="1">IF(K10="","",TODAY()-Table1[[#This Row],[Last Contacted]])</f>
        <v/>
      </c>
      <c r="B10" s="4" t="str">
        <f>_xlfn.XLOOKUP(Table1[[#This Row],[Contact Tempo]],Tempo[Contact Tempo],Tempo[Time Decay],"Never")</f>
        <v>Never</v>
      </c>
      <c r="H10" t="str">
        <f>IF(ISBLANK(Table1[[#This Row],[City]]),"",IF(AND(Table1[[#This Row],[Country]]=Settings!$A$2, Table1[[#This Row],[City]]=Settings!$B$2),"Yes","No"))</f>
        <v/>
      </c>
      <c r="I10" t="str">
        <f>Table1[[#This Row],[Country]]&amp;Table1[[#This Row],[City]]</f>
        <v/>
      </c>
    </row>
    <row r="11" spans="1:26" x14ac:dyDescent="0.2">
      <c r="A11" s="4" t="str">
        <f ca="1">IF(K11="","",TODAY()-Table1[[#This Row],[Last Contacted]])</f>
        <v/>
      </c>
      <c r="B11" s="4" t="str">
        <f>_xlfn.XLOOKUP(Table1[[#This Row],[Contact Tempo]],Tempo[Contact Tempo],Tempo[Time Decay],"Never")</f>
        <v>Never</v>
      </c>
      <c r="H11" t="str">
        <f>IF(ISBLANK(Table1[[#This Row],[City]]),"",IF(AND(Table1[[#This Row],[Country]]=Settings!$A$2, Table1[[#This Row],[City]]=Settings!$B$2),"Yes","No"))</f>
        <v/>
      </c>
      <c r="I11" t="str">
        <f>Table1[[#This Row],[Country]]&amp;Table1[[#This Row],[City]]</f>
        <v/>
      </c>
    </row>
    <row r="12" spans="1:26" x14ac:dyDescent="0.2">
      <c r="A12" s="4" t="str">
        <f ca="1">IF(K12="","",TODAY()-Table1[[#This Row],[Last Contacted]])</f>
        <v/>
      </c>
      <c r="B12" s="4" t="str">
        <f>_xlfn.XLOOKUP(Table1[[#This Row],[Contact Tempo]],Tempo[Contact Tempo],Tempo[Time Decay],"Never")</f>
        <v>Never</v>
      </c>
      <c r="H12" t="str">
        <f>IF(ISBLANK(Table1[[#This Row],[City]]),"",IF(AND(Table1[[#This Row],[Country]]=Settings!$A$2, Table1[[#This Row],[City]]=Settings!$B$2),"Yes","No"))</f>
        <v/>
      </c>
      <c r="I12" t="str">
        <f>Table1[[#This Row],[Country]]&amp;Table1[[#This Row],[City]]</f>
        <v/>
      </c>
    </row>
    <row r="13" spans="1:26" x14ac:dyDescent="0.2">
      <c r="A13" s="4" t="str">
        <f ca="1">IF(K13="","",TODAY()-Table1[[#This Row],[Last Contacted]])</f>
        <v/>
      </c>
      <c r="B13" s="4" t="str">
        <f>_xlfn.XLOOKUP(Table1[[#This Row],[Contact Tempo]],Tempo[Contact Tempo],Tempo[Time Decay],"Never")</f>
        <v>Never</v>
      </c>
      <c r="H13" t="str">
        <f>IF(ISBLANK(Table1[[#This Row],[City]]),"",IF(AND(Table1[[#This Row],[Country]]=Settings!$A$2, Table1[[#This Row],[City]]=Settings!$B$2),"Yes","No"))</f>
        <v/>
      </c>
      <c r="I13" t="str">
        <f>Table1[[#This Row],[Country]]&amp;Table1[[#This Row],[City]]</f>
        <v/>
      </c>
    </row>
    <row r="14" spans="1:26" x14ac:dyDescent="0.2">
      <c r="A14" s="4" t="str">
        <f ca="1">IF(K14="","",TODAY()-Table1[[#This Row],[Last Contacted]])</f>
        <v/>
      </c>
      <c r="B14" s="4" t="str">
        <f>_xlfn.XLOOKUP(Table1[[#This Row],[Contact Tempo]],Tempo[Contact Tempo],Tempo[Time Decay],"Never")</f>
        <v>Never</v>
      </c>
      <c r="H14" t="str">
        <f>IF(ISBLANK(Table1[[#This Row],[City]]),"",IF(AND(Table1[[#This Row],[Country]]=Settings!$A$2, Table1[[#This Row],[City]]=Settings!$B$2),"Yes","No"))</f>
        <v/>
      </c>
      <c r="I14" t="str">
        <f>Table1[[#This Row],[Country]]&amp;Table1[[#This Row],[City]]</f>
        <v/>
      </c>
    </row>
    <row r="15" spans="1:26" x14ac:dyDescent="0.2">
      <c r="A15" s="4" t="str">
        <f ca="1">IF(K15="","",TODAY()-Table1[[#This Row],[Last Contacted]])</f>
        <v/>
      </c>
      <c r="B15" s="4" t="str">
        <f>_xlfn.XLOOKUP(Table1[[#This Row],[Contact Tempo]],Tempo[Contact Tempo],Tempo[Time Decay],"Never")</f>
        <v>Never</v>
      </c>
      <c r="H15" t="str">
        <f>IF(ISBLANK(Table1[[#This Row],[City]]),"",IF(AND(Table1[[#This Row],[Country]]=Settings!$A$2, Table1[[#This Row],[City]]=Settings!$B$2),"Yes","No"))</f>
        <v/>
      </c>
      <c r="I15" t="str">
        <f>Table1[[#This Row],[Country]]&amp;Table1[[#This Row],[City]]</f>
        <v/>
      </c>
    </row>
    <row r="16" spans="1:26" x14ac:dyDescent="0.2">
      <c r="A16" s="4" t="str">
        <f ca="1">IF(K16="","",TODAY()-Table1[[#This Row],[Last Contacted]])</f>
        <v/>
      </c>
      <c r="B16" s="4" t="str">
        <f>_xlfn.XLOOKUP(Table1[[#This Row],[Contact Tempo]],Tempo[Contact Tempo],Tempo[Time Decay],"Never")</f>
        <v>Never</v>
      </c>
      <c r="H16" t="str">
        <f>IF(ISBLANK(Table1[[#This Row],[City]]),"",IF(AND(Table1[[#This Row],[Country]]=Settings!$A$2, Table1[[#This Row],[City]]=Settings!$B$2),"Yes","No"))</f>
        <v/>
      </c>
      <c r="I16" t="str">
        <f>Table1[[#This Row],[Country]]&amp;Table1[[#This Row],[City]]</f>
        <v/>
      </c>
    </row>
    <row r="17" spans="1:9" x14ac:dyDescent="0.2">
      <c r="A17" s="4" t="str">
        <f ca="1">IF(K17="","",TODAY()-Table1[[#This Row],[Last Contacted]])</f>
        <v/>
      </c>
      <c r="B17" s="4" t="str">
        <f>_xlfn.XLOOKUP(Table1[[#This Row],[Contact Tempo]],Tempo[Contact Tempo],Tempo[Time Decay],"Never")</f>
        <v>Never</v>
      </c>
      <c r="H17" t="str">
        <f>IF(ISBLANK(Table1[[#This Row],[City]]),"",IF(AND(Table1[[#This Row],[Country]]=Settings!$A$2, Table1[[#This Row],[City]]=Settings!$B$2),"Yes","No"))</f>
        <v/>
      </c>
      <c r="I17" t="str">
        <f>Table1[[#This Row],[Country]]&amp;Table1[[#This Row],[City]]</f>
        <v/>
      </c>
    </row>
    <row r="18" spans="1:9" x14ac:dyDescent="0.2">
      <c r="A18" s="4" t="str">
        <f ca="1">IF(K18="","",TODAY()-Table1[[#This Row],[Last Contacted]])</f>
        <v/>
      </c>
      <c r="B18" s="4" t="str">
        <f>_xlfn.XLOOKUP(Table1[[#This Row],[Contact Tempo]],Tempo[Contact Tempo],Tempo[Time Decay],"Never")</f>
        <v>Never</v>
      </c>
      <c r="H18" t="str">
        <f>IF(ISBLANK(Table1[[#This Row],[City]]),"",IF(AND(Table1[[#This Row],[Country]]=Settings!$A$2, Table1[[#This Row],[City]]=Settings!$B$2),"Yes","No"))</f>
        <v/>
      </c>
      <c r="I18" t="str">
        <f>Table1[[#This Row],[Country]]&amp;Table1[[#This Row],[City]]</f>
        <v/>
      </c>
    </row>
    <row r="19" spans="1:9" x14ac:dyDescent="0.2">
      <c r="A19" s="4" t="str">
        <f ca="1">IF(K19="","",TODAY()-Table1[[#This Row],[Last Contacted]])</f>
        <v/>
      </c>
      <c r="B19" s="4" t="str">
        <f>_xlfn.XLOOKUP(Table1[[#This Row],[Contact Tempo]],Tempo[Contact Tempo],Tempo[Time Decay],"Never")</f>
        <v>Never</v>
      </c>
      <c r="H19" t="str">
        <f>IF(ISBLANK(Table1[[#This Row],[City]]),"",IF(AND(Table1[[#This Row],[Country]]=Settings!$A$2, Table1[[#This Row],[City]]=Settings!$B$2),"Yes","No"))</f>
        <v/>
      </c>
      <c r="I19" t="str">
        <f>Table1[[#This Row],[Country]]&amp;Table1[[#This Row],[City]]</f>
        <v/>
      </c>
    </row>
    <row r="20" spans="1:9" x14ac:dyDescent="0.2">
      <c r="A20" s="4" t="str">
        <f ca="1">IF(K20="","",TODAY()-Table1[[#This Row],[Last Contacted]])</f>
        <v/>
      </c>
      <c r="B20" s="4" t="str">
        <f>_xlfn.XLOOKUP(Table1[[#This Row],[Contact Tempo]],Tempo[Contact Tempo],Tempo[Time Decay],"Never")</f>
        <v>Never</v>
      </c>
      <c r="H20" t="str">
        <f>IF(ISBLANK(Table1[[#This Row],[City]]),"",IF(AND(Table1[[#This Row],[Country]]=Settings!$A$2, Table1[[#This Row],[City]]=Settings!$B$2),"Yes","No"))</f>
        <v/>
      </c>
      <c r="I20" t="str">
        <f>Table1[[#This Row],[Country]]&amp;Table1[[#This Row],[City]]</f>
        <v/>
      </c>
    </row>
    <row r="21" spans="1:9" x14ac:dyDescent="0.2">
      <c r="A21" s="4" t="str">
        <f ca="1">IF(K21="","",TODAY()-Table1[[#This Row],[Last Contacted]])</f>
        <v/>
      </c>
      <c r="B21" s="4" t="str">
        <f>_xlfn.XLOOKUP(Table1[[#This Row],[Contact Tempo]],Tempo[Contact Tempo],Tempo[Time Decay],"Never")</f>
        <v>Never</v>
      </c>
      <c r="H21" t="str">
        <f>IF(ISBLANK(Table1[[#This Row],[City]]),"",IF(AND(Table1[[#This Row],[Country]]=Settings!$A$2, Table1[[#This Row],[City]]=Settings!$B$2),"Yes","No"))</f>
        <v/>
      </c>
      <c r="I21" t="str">
        <f>Table1[[#This Row],[Country]]&amp;Table1[[#This Row],[City]]</f>
        <v/>
      </c>
    </row>
    <row r="22" spans="1:9" x14ac:dyDescent="0.2">
      <c r="A22" s="4" t="str">
        <f ca="1">IF(K22="","",TODAY()-Table1[[#This Row],[Last Contacted]])</f>
        <v/>
      </c>
      <c r="B22" s="4" t="str">
        <f>_xlfn.XLOOKUP(Table1[[#This Row],[Contact Tempo]],Tempo[Contact Tempo],Tempo[Time Decay],"Never")</f>
        <v>Never</v>
      </c>
      <c r="H22" t="str">
        <f>IF(ISBLANK(Table1[[#This Row],[City]]),"",IF(AND(Table1[[#This Row],[Country]]=Settings!$A$2, Table1[[#This Row],[City]]=Settings!$B$2),"Yes","No"))</f>
        <v/>
      </c>
      <c r="I22" t="str">
        <f>Table1[[#This Row],[Country]]&amp;Table1[[#This Row],[City]]</f>
        <v/>
      </c>
    </row>
    <row r="23" spans="1:9" x14ac:dyDescent="0.2">
      <c r="A23" s="4" t="str">
        <f ca="1">IF(K23="","",TODAY()-Table1[[#This Row],[Last Contacted]])</f>
        <v/>
      </c>
      <c r="B23" s="4" t="str">
        <f>_xlfn.XLOOKUP(Table1[[#This Row],[Contact Tempo]],Tempo[Contact Tempo],Tempo[Time Decay],"Never")</f>
        <v>Never</v>
      </c>
      <c r="H23" t="str">
        <f>IF(ISBLANK(Table1[[#This Row],[City]]),"",IF(AND(Table1[[#This Row],[Country]]=Settings!$A$2, Table1[[#This Row],[City]]=Settings!$B$2),"Yes","No"))</f>
        <v/>
      </c>
      <c r="I23" t="str">
        <f>Table1[[#This Row],[Country]]&amp;Table1[[#This Row],[City]]</f>
        <v/>
      </c>
    </row>
    <row r="24" spans="1:9" x14ac:dyDescent="0.2">
      <c r="A24" s="4" t="str">
        <f ca="1">IF(K24="","",TODAY()-Table1[[#This Row],[Last Contacted]])</f>
        <v/>
      </c>
      <c r="B24" s="4" t="str">
        <f>_xlfn.XLOOKUP(Table1[[#This Row],[Contact Tempo]],Tempo[Contact Tempo],Tempo[Time Decay],"Never")</f>
        <v>Never</v>
      </c>
      <c r="H24" t="str">
        <f>IF(ISBLANK(Table1[[#This Row],[City]]),"",IF(AND(Table1[[#This Row],[Country]]=Settings!$A$2, Table1[[#This Row],[City]]=Settings!$B$2),"Yes","No"))</f>
        <v/>
      </c>
      <c r="I24" t="str">
        <f>Table1[[#This Row],[Country]]&amp;Table1[[#This Row],[City]]</f>
        <v/>
      </c>
    </row>
    <row r="25" spans="1:9" x14ac:dyDescent="0.2">
      <c r="A25" s="4" t="str">
        <f ca="1">IF(K25="","",TODAY()-Table1[[#This Row],[Last Contacted]])</f>
        <v/>
      </c>
      <c r="B25" s="4" t="str">
        <f>_xlfn.XLOOKUP(Table1[[#This Row],[Contact Tempo]],Tempo[Contact Tempo],Tempo[Time Decay],"Never")</f>
        <v>Never</v>
      </c>
      <c r="H25" t="str">
        <f>IF(ISBLANK(Table1[[#This Row],[City]]),"",IF(AND(Table1[[#This Row],[Country]]=Settings!$A$2, Table1[[#This Row],[City]]=Settings!$B$2),"Yes","No"))</f>
        <v/>
      </c>
      <c r="I25" t="str">
        <f>Table1[[#This Row],[Country]]&amp;Table1[[#This Row],[City]]</f>
        <v/>
      </c>
    </row>
    <row r="26" spans="1:9" x14ac:dyDescent="0.2">
      <c r="A26" s="4" t="str">
        <f ca="1">IF(K26="","",TODAY()-Table1[[#This Row],[Last Contacted]])</f>
        <v/>
      </c>
      <c r="B26" s="4" t="str">
        <f>_xlfn.XLOOKUP(Table1[[#This Row],[Contact Tempo]],Tempo[Contact Tempo],Tempo[Time Decay],"Never")</f>
        <v>Never</v>
      </c>
      <c r="H26" t="str">
        <f>IF(ISBLANK(Table1[[#This Row],[City]]),"",IF(AND(Table1[[#This Row],[Country]]=Settings!$A$2, Table1[[#This Row],[City]]=Settings!$B$2),"Yes","No"))</f>
        <v/>
      </c>
      <c r="I26" t="str">
        <f>Table1[[#This Row],[Country]]&amp;Table1[[#This Row],[City]]</f>
        <v/>
      </c>
    </row>
    <row r="27" spans="1:9" x14ac:dyDescent="0.2">
      <c r="A27" s="4" t="str">
        <f ca="1">IF(K27="","",TODAY()-Table1[[#This Row],[Last Contacted]])</f>
        <v/>
      </c>
      <c r="B27" s="4" t="str">
        <f>_xlfn.XLOOKUP(Table1[[#This Row],[Contact Tempo]],Tempo[Contact Tempo],Tempo[Time Decay],"Never")</f>
        <v>Never</v>
      </c>
      <c r="H27" t="str">
        <f>IF(ISBLANK(Table1[[#This Row],[City]]),"",IF(AND(Table1[[#This Row],[Country]]=Settings!$A$2, Table1[[#This Row],[City]]=Settings!$B$2),"Yes","No"))</f>
        <v/>
      </c>
      <c r="I27" t="str">
        <f>Table1[[#This Row],[Country]]&amp;Table1[[#This Row],[City]]</f>
        <v/>
      </c>
    </row>
    <row r="28" spans="1:9" x14ac:dyDescent="0.2">
      <c r="A28" s="4" t="str">
        <f ca="1">IF(K28="","",TODAY()-Table1[[#This Row],[Last Contacted]])</f>
        <v/>
      </c>
      <c r="B28" s="4" t="str">
        <f>_xlfn.XLOOKUP(Table1[[#This Row],[Contact Tempo]],Tempo[Contact Tempo],Tempo[Time Decay],"Never")</f>
        <v>Never</v>
      </c>
      <c r="H28" t="str">
        <f>IF(ISBLANK(Table1[[#This Row],[City]]),"",IF(AND(Table1[[#This Row],[Country]]=Settings!$A$2, Table1[[#This Row],[City]]=Settings!$B$2),"Yes","No"))</f>
        <v/>
      </c>
      <c r="I28" t="str">
        <f>Table1[[#This Row],[Country]]&amp;Table1[[#This Row],[City]]</f>
        <v/>
      </c>
    </row>
    <row r="29" spans="1:9" x14ac:dyDescent="0.2">
      <c r="A29" s="4" t="str">
        <f ca="1">IF(K29="","",TODAY()-Table1[[#This Row],[Last Contacted]])</f>
        <v/>
      </c>
      <c r="B29" s="4" t="str">
        <f>_xlfn.XLOOKUP(Table1[[#This Row],[Contact Tempo]],Tempo[Contact Tempo],Tempo[Time Decay],"Never")</f>
        <v>Never</v>
      </c>
      <c r="H29" t="str">
        <f>IF(ISBLANK(Table1[[#This Row],[City]]),"",IF(AND(Table1[[#This Row],[Country]]=Settings!$A$2, Table1[[#This Row],[City]]=Settings!$B$2),"Yes","No"))</f>
        <v/>
      </c>
      <c r="I29" t="str">
        <f>Table1[[#This Row],[Country]]&amp;Table1[[#This Row],[City]]</f>
        <v/>
      </c>
    </row>
    <row r="30" spans="1:9" x14ac:dyDescent="0.2">
      <c r="A30" s="4" t="str">
        <f ca="1">IF(K30="","",TODAY()-Table1[[#This Row],[Last Contacted]])</f>
        <v/>
      </c>
      <c r="B30" s="4" t="str">
        <f>_xlfn.XLOOKUP(Table1[[#This Row],[Contact Tempo]],Tempo[Contact Tempo],Tempo[Time Decay],"Never")</f>
        <v>Never</v>
      </c>
      <c r="H30" t="str">
        <f>IF(ISBLANK(Table1[[#This Row],[City]]),"",IF(AND(Table1[[#This Row],[Country]]=Settings!$A$2, Table1[[#This Row],[City]]=Settings!$B$2),"Yes","No"))</f>
        <v/>
      </c>
      <c r="I30" t="str">
        <f>Table1[[#This Row],[Country]]&amp;Table1[[#This Row],[City]]</f>
        <v/>
      </c>
    </row>
    <row r="31" spans="1:9" x14ac:dyDescent="0.2">
      <c r="A31" s="4" t="str">
        <f ca="1">IF(K31="","",TODAY()-Table1[[#This Row],[Last Contacted]])</f>
        <v/>
      </c>
      <c r="B31" s="4" t="str">
        <f>_xlfn.XLOOKUP(Table1[[#This Row],[Contact Tempo]],Tempo[Contact Tempo],Tempo[Time Decay],"Never")</f>
        <v>Never</v>
      </c>
      <c r="H31" t="str">
        <f>IF(ISBLANK(Table1[[#This Row],[City]]),"",IF(AND(Table1[[#This Row],[Country]]=Settings!$A$2, Table1[[#This Row],[City]]=Settings!$B$2),"Yes","No"))</f>
        <v/>
      </c>
      <c r="I31" t="str">
        <f>Table1[[#This Row],[Country]]&amp;Table1[[#This Row],[City]]</f>
        <v/>
      </c>
    </row>
    <row r="32" spans="1:9" x14ac:dyDescent="0.2">
      <c r="A32" s="4" t="str">
        <f ca="1">IF(K32="","",TODAY()-Table1[[#This Row],[Last Contacted]])</f>
        <v/>
      </c>
      <c r="B32" s="4" t="str">
        <f>_xlfn.XLOOKUP(Table1[[#This Row],[Contact Tempo]],Tempo[Contact Tempo],Tempo[Time Decay],"Never")</f>
        <v>Never</v>
      </c>
      <c r="H32" t="str">
        <f>IF(ISBLANK(Table1[[#This Row],[City]]),"",IF(AND(Table1[[#This Row],[Country]]=Settings!$A$2, Table1[[#This Row],[City]]=Settings!$B$2),"Yes","No"))</f>
        <v/>
      </c>
      <c r="I32" t="str">
        <f>Table1[[#This Row],[Country]]&amp;Table1[[#This Row],[City]]</f>
        <v/>
      </c>
    </row>
    <row r="33" spans="1:9" x14ac:dyDescent="0.2">
      <c r="A33" s="4" t="str">
        <f ca="1">IF(K33="","",TODAY()-Table1[[#This Row],[Last Contacted]])</f>
        <v/>
      </c>
      <c r="B33" s="4" t="str">
        <f>_xlfn.XLOOKUP(Table1[[#This Row],[Contact Tempo]],Tempo[Contact Tempo],Tempo[Time Decay],"Never")</f>
        <v>Never</v>
      </c>
      <c r="H33" t="str">
        <f>IF(ISBLANK(Table1[[#This Row],[City]]),"",IF(AND(Table1[[#This Row],[Country]]=Settings!$A$2, Table1[[#This Row],[City]]=Settings!$B$2),"Yes","No"))</f>
        <v/>
      </c>
      <c r="I33" t="str">
        <f>Table1[[#This Row],[Country]]&amp;Table1[[#This Row],[City]]</f>
        <v/>
      </c>
    </row>
    <row r="34" spans="1:9" x14ac:dyDescent="0.2">
      <c r="A34" s="4" t="str">
        <f ca="1">IF(K34="","",TODAY()-Table1[[#This Row],[Last Contacted]])</f>
        <v/>
      </c>
      <c r="B34" s="4" t="str">
        <f>_xlfn.XLOOKUP(Table1[[#This Row],[Contact Tempo]],Tempo[Contact Tempo],Tempo[Time Decay],"Never")</f>
        <v>Never</v>
      </c>
      <c r="H34" t="str">
        <f>IF(ISBLANK(Table1[[#This Row],[City]]),"",IF(AND(Table1[[#This Row],[Country]]=Settings!$A$2, Table1[[#This Row],[City]]=Settings!$B$2),"Yes","No"))</f>
        <v/>
      </c>
      <c r="I34" t="str">
        <f>Table1[[#This Row],[Country]]&amp;Table1[[#This Row],[City]]</f>
        <v/>
      </c>
    </row>
    <row r="35" spans="1:9" x14ac:dyDescent="0.2">
      <c r="A35" s="4" t="str">
        <f ca="1">IF(K35="","",TODAY()-Table1[[#This Row],[Last Contacted]])</f>
        <v/>
      </c>
      <c r="B35" s="4" t="str">
        <f>_xlfn.XLOOKUP(Table1[[#This Row],[Contact Tempo]],Tempo[Contact Tempo],Tempo[Time Decay],"Never")</f>
        <v>Never</v>
      </c>
      <c r="H35" t="str">
        <f>IF(ISBLANK(Table1[[#This Row],[City]]),"",IF(AND(Table1[[#This Row],[Country]]=Settings!$A$2, Table1[[#This Row],[City]]=Settings!$B$2),"Yes","No"))</f>
        <v/>
      </c>
      <c r="I35" t="str">
        <f>Table1[[#This Row],[Country]]&amp;Table1[[#This Row],[City]]</f>
        <v/>
      </c>
    </row>
    <row r="36" spans="1:9" x14ac:dyDescent="0.2">
      <c r="A36" s="4" t="str">
        <f ca="1">IF(K36="","",TODAY()-Table1[[#This Row],[Last Contacted]])</f>
        <v/>
      </c>
      <c r="B36" s="4" t="str">
        <f>_xlfn.XLOOKUP(Table1[[#This Row],[Contact Tempo]],Tempo[Contact Tempo],Tempo[Time Decay],"Never")</f>
        <v>Never</v>
      </c>
      <c r="H36" t="str">
        <f>IF(ISBLANK(Table1[[#This Row],[City]]),"",IF(AND(Table1[[#This Row],[Country]]=Settings!$A$2, Table1[[#This Row],[City]]=Settings!$B$2),"Yes","No"))</f>
        <v/>
      </c>
      <c r="I36" t="str">
        <f>Table1[[#This Row],[Country]]&amp;Table1[[#This Row],[City]]</f>
        <v/>
      </c>
    </row>
    <row r="37" spans="1:9" x14ac:dyDescent="0.2">
      <c r="A37" s="4" t="str">
        <f ca="1">IF(K37="","",TODAY()-Table1[[#This Row],[Last Contacted]])</f>
        <v/>
      </c>
      <c r="B37" s="4" t="str">
        <f>_xlfn.XLOOKUP(Table1[[#This Row],[Contact Tempo]],Tempo[Contact Tempo],Tempo[Time Decay],"Never")</f>
        <v>Never</v>
      </c>
      <c r="H37" t="str">
        <f>IF(ISBLANK(Table1[[#This Row],[City]]),"",IF(AND(Table1[[#This Row],[Country]]=Settings!$A$2, Table1[[#This Row],[City]]=Settings!$B$2),"Yes","No"))</f>
        <v/>
      </c>
      <c r="I37" t="str">
        <f>Table1[[#This Row],[Country]]&amp;Table1[[#This Row],[City]]</f>
        <v/>
      </c>
    </row>
    <row r="38" spans="1:9" x14ac:dyDescent="0.2">
      <c r="A38" s="4" t="str">
        <f ca="1">IF(K38="","",TODAY()-Table1[[#This Row],[Last Contacted]])</f>
        <v/>
      </c>
      <c r="B38" s="4" t="str">
        <f>_xlfn.XLOOKUP(Table1[[#This Row],[Contact Tempo]],Tempo[Contact Tempo],Tempo[Time Decay],"Never")</f>
        <v>Never</v>
      </c>
      <c r="H38" t="str">
        <f>IF(ISBLANK(Table1[[#This Row],[City]]),"",IF(AND(Table1[[#This Row],[Country]]=Settings!$A$2, Table1[[#This Row],[City]]=Settings!$B$2),"Yes","No"))</f>
        <v/>
      </c>
      <c r="I38" t="str">
        <f>Table1[[#This Row],[Country]]&amp;Table1[[#This Row],[City]]</f>
        <v/>
      </c>
    </row>
    <row r="39" spans="1:9" x14ac:dyDescent="0.2">
      <c r="A39" s="4" t="str">
        <f ca="1">IF(K39="","",TODAY()-Table1[[#This Row],[Last Contacted]])</f>
        <v/>
      </c>
      <c r="B39" s="4" t="str">
        <f>_xlfn.XLOOKUP(Table1[[#This Row],[Contact Tempo]],Tempo[Contact Tempo],Tempo[Time Decay],"Never")</f>
        <v>Never</v>
      </c>
      <c r="H39" t="str">
        <f>IF(ISBLANK(Table1[[#This Row],[City]]),"",IF(AND(Table1[[#This Row],[Country]]=Settings!$A$2, Table1[[#This Row],[City]]=Settings!$B$2),"Yes","No"))</f>
        <v/>
      </c>
      <c r="I39" t="str">
        <f>Table1[[#This Row],[Country]]&amp;Table1[[#This Row],[City]]</f>
        <v/>
      </c>
    </row>
    <row r="40" spans="1:9" x14ac:dyDescent="0.2">
      <c r="A40" s="4" t="str">
        <f ca="1">IF(K40="","",TODAY()-Table1[[#This Row],[Last Contacted]])</f>
        <v/>
      </c>
      <c r="B40" s="4" t="str">
        <f>_xlfn.XLOOKUP(Table1[[#This Row],[Contact Tempo]],Tempo[Contact Tempo],Tempo[Time Decay],"Never")</f>
        <v>Never</v>
      </c>
      <c r="H40" t="str">
        <f>IF(ISBLANK(Table1[[#This Row],[City]]),"",IF(AND(Table1[[#This Row],[Country]]=Settings!$A$2, Table1[[#This Row],[City]]=Settings!$B$2),"Yes","No"))</f>
        <v/>
      </c>
      <c r="I40" t="str">
        <f>Table1[[#This Row],[Country]]&amp;Table1[[#This Row],[City]]</f>
        <v/>
      </c>
    </row>
    <row r="41" spans="1:9" x14ac:dyDescent="0.2">
      <c r="A41" s="4" t="str">
        <f ca="1">IF(K41="","",TODAY()-Table1[[#This Row],[Last Contacted]])</f>
        <v/>
      </c>
      <c r="B41" s="4" t="str">
        <f>_xlfn.XLOOKUP(Table1[[#This Row],[Contact Tempo]],Tempo[Contact Tempo],Tempo[Time Decay],"Never")</f>
        <v>Never</v>
      </c>
      <c r="H41" t="str">
        <f>IF(ISBLANK(Table1[[#This Row],[City]]),"",IF(AND(Table1[[#This Row],[Country]]=Settings!$A$2, Table1[[#This Row],[City]]=Settings!$B$2),"Yes","No"))</f>
        <v/>
      </c>
      <c r="I41" t="str">
        <f>Table1[[#This Row],[Country]]&amp;Table1[[#This Row],[City]]</f>
        <v/>
      </c>
    </row>
    <row r="42" spans="1:9" x14ac:dyDescent="0.2">
      <c r="A42" s="4" t="str">
        <f ca="1">IF(K42="","",TODAY()-Table1[[#This Row],[Last Contacted]])</f>
        <v/>
      </c>
      <c r="B42" s="4" t="str">
        <f>_xlfn.XLOOKUP(Table1[[#This Row],[Contact Tempo]],Tempo[Contact Tempo],Tempo[Time Decay],"Never")</f>
        <v>Never</v>
      </c>
      <c r="H42" t="str">
        <f>IF(ISBLANK(Table1[[#This Row],[City]]),"",IF(AND(Table1[[#This Row],[Country]]=Settings!$A$2, Table1[[#This Row],[City]]=Settings!$B$2),"Yes","No"))</f>
        <v/>
      </c>
      <c r="I42" t="str">
        <f>Table1[[#This Row],[Country]]&amp;Table1[[#This Row],[City]]</f>
        <v/>
      </c>
    </row>
    <row r="43" spans="1:9" x14ac:dyDescent="0.2">
      <c r="A43" s="4" t="str">
        <f ca="1">IF(K43="","",TODAY()-Table1[[#This Row],[Last Contacted]])</f>
        <v/>
      </c>
      <c r="B43" s="4" t="str">
        <f>_xlfn.XLOOKUP(Table1[[#This Row],[Contact Tempo]],Tempo[Contact Tempo],Tempo[Time Decay],"Never")</f>
        <v>Never</v>
      </c>
      <c r="H43" t="str">
        <f>IF(ISBLANK(Table1[[#This Row],[City]]),"",IF(AND(Table1[[#This Row],[Country]]=Settings!$A$2, Table1[[#This Row],[City]]=Settings!$B$2),"Yes","No"))</f>
        <v/>
      </c>
      <c r="I43" t="str">
        <f>Table1[[#This Row],[Country]]&amp;Table1[[#This Row],[City]]</f>
        <v/>
      </c>
    </row>
    <row r="44" spans="1:9" x14ac:dyDescent="0.2">
      <c r="A44" s="4" t="str">
        <f ca="1">IF(K44="","",TODAY()-Table1[[#This Row],[Last Contacted]])</f>
        <v/>
      </c>
      <c r="B44" s="4" t="str">
        <f>_xlfn.XLOOKUP(Table1[[#This Row],[Contact Tempo]],Tempo[Contact Tempo],Tempo[Time Decay],"Never")</f>
        <v>Never</v>
      </c>
      <c r="H44" t="str">
        <f>IF(ISBLANK(Table1[[#This Row],[City]]),"",IF(AND(Table1[[#This Row],[Country]]=Settings!$A$2, Table1[[#This Row],[City]]=Settings!$B$2),"Yes","No"))</f>
        <v/>
      </c>
      <c r="I44" t="str">
        <f>Table1[[#This Row],[Country]]&amp;Table1[[#This Row],[City]]</f>
        <v/>
      </c>
    </row>
    <row r="45" spans="1:9" x14ac:dyDescent="0.2">
      <c r="A45" s="4" t="str">
        <f ca="1">IF(K45="","",TODAY()-Table1[[#This Row],[Last Contacted]])</f>
        <v/>
      </c>
      <c r="B45" s="4" t="str">
        <f>_xlfn.XLOOKUP(Table1[[#This Row],[Contact Tempo]],Tempo[Contact Tempo],Tempo[Time Decay],"Never")</f>
        <v>Never</v>
      </c>
      <c r="H45" t="str">
        <f>IF(ISBLANK(Table1[[#This Row],[City]]),"",IF(AND(Table1[[#This Row],[Country]]=Settings!$A$2, Table1[[#This Row],[City]]=Settings!$B$2),"Yes","No"))</f>
        <v/>
      </c>
      <c r="I45" t="str">
        <f>Table1[[#This Row],[Country]]&amp;Table1[[#This Row],[City]]</f>
        <v/>
      </c>
    </row>
    <row r="46" spans="1:9" x14ac:dyDescent="0.2">
      <c r="A46" s="4" t="str">
        <f ca="1">IF(K46="","",TODAY()-Table1[[#This Row],[Last Contacted]])</f>
        <v/>
      </c>
      <c r="B46" s="4" t="str">
        <f>_xlfn.XLOOKUP(Table1[[#This Row],[Contact Tempo]],Tempo[Contact Tempo],Tempo[Time Decay],"Never")</f>
        <v>Never</v>
      </c>
      <c r="H46" t="str">
        <f>IF(ISBLANK(Table1[[#This Row],[City]]),"",IF(AND(Table1[[#This Row],[Country]]=Settings!$A$2, Table1[[#This Row],[City]]=Settings!$B$2),"Yes","No"))</f>
        <v/>
      </c>
      <c r="I46" t="str">
        <f>Table1[[#This Row],[Country]]&amp;Table1[[#This Row],[City]]</f>
        <v/>
      </c>
    </row>
    <row r="47" spans="1:9" x14ac:dyDescent="0.2">
      <c r="A47" s="4" t="str">
        <f ca="1">IF(K47="","",TODAY()-Table1[[#This Row],[Last Contacted]])</f>
        <v/>
      </c>
      <c r="B47" s="4" t="str">
        <f>_xlfn.XLOOKUP(Table1[[#This Row],[Contact Tempo]],Tempo[Contact Tempo],Tempo[Time Decay],"Never")</f>
        <v>Never</v>
      </c>
      <c r="H47" t="str">
        <f>IF(ISBLANK(Table1[[#This Row],[City]]),"",IF(AND(Table1[[#This Row],[Country]]=Settings!$A$2, Table1[[#This Row],[City]]=Settings!$B$2),"Yes","No"))</f>
        <v/>
      </c>
      <c r="I47" t="str">
        <f>Table1[[#This Row],[Country]]&amp;Table1[[#This Row],[City]]</f>
        <v/>
      </c>
    </row>
    <row r="48" spans="1:9" x14ac:dyDescent="0.2">
      <c r="A48" s="4" t="str">
        <f ca="1">IF(K48="","",TODAY()-Table1[[#This Row],[Last Contacted]])</f>
        <v/>
      </c>
      <c r="B48" s="4" t="str">
        <f>_xlfn.XLOOKUP(Table1[[#This Row],[Contact Tempo]],Tempo[Contact Tempo],Tempo[Time Decay],"Never")</f>
        <v>Never</v>
      </c>
      <c r="H48" t="str">
        <f>IF(ISBLANK(Table1[[#This Row],[City]]),"",IF(AND(Table1[[#This Row],[Country]]=Settings!$A$2, Table1[[#This Row],[City]]=Settings!$B$2),"Yes","No"))</f>
        <v/>
      </c>
      <c r="I48" t="str">
        <f>Table1[[#This Row],[Country]]&amp;Table1[[#This Row],[City]]</f>
        <v/>
      </c>
    </row>
    <row r="49" spans="1:9" x14ac:dyDescent="0.2">
      <c r="A49" s="4" t="str">
        <f ca="1">IF(K49="","",TODAY()-Table1[[#This Row],[Last Contacted]])</f>
        <v/>
      </c>
      <c r="B49" s="4" t="str">
        <f>_xlfn.XLOOKUP(Table1[[#This Row],[Contact Tempo]],Tempo[Contact Tempo],Tempo[Time Decay],"Never")</f>
        <v>Never</v>
      </c>
      <c r="H49" t="str">
        <f>IF(ISBLANK(Table1[[#This Row],[City]]),"",IF(AND(Table1[[#This Row],[Country]]=Settings!$A$2, Table1[[#This Row],[City]]=Settings!$B$2),"Yes","No"))</f>
        <v/>
      </c>
      <c r="I49" t="str">
        <f>Table1[[#This Row],[Country]]&amp;Table1[[#This Row],[City]]</f>
        <v/>
      </c>
    </row>
    <row r="50" spans="1:9" x14ac:dyDescent="0.2">
      <c r="A50" s="4" t="str">
        <f ca="1">IF(K50="","",TODAY()-Table1[[#This Row],[Last Contacted]])</f>
        <v/>
      </c>
      <c r="B50" s="4" t="str">
        <f>_xlfn.XLOOKUP(Table1[[#This Row],[Contact Tempo]],Tempo[Contact Tempo],Tempo[Time Decay],"Never")</f>
        <v>Never</v>
      </c>
      <c r="H50" t="str">
        <f>IF(ISBLANK(Table1[[#This Row],[City]]),"",IF(AND(Table1[[#This Row],[Country]]=Settings!$A$2, Table1[[#This Row],[City]]=Settings!$B$2),"Yes","No"))</f>
        <v/>
      </c>
      <c r="I50" t="str">
        <f>Table1[[#This Row],[Country]]&amp;Table1[[#This Row],[City]]</f>
        <v/>
      </c>
    </row>
    <row r="51" spans="1:9" x14ac:dyDescent="0.2">
      <c r="A51" s="4" t="str">
        <f ca="1">IF(K51="","",TODAY()-Table1[[#This Row],[Last Contacted]])</f>
        <v/>
      </c>
      <c r="B51" s="4" t="str">
        <f>_xlfn.XLOOKUP(Table1[[#This Row],[Contact Tempo]],Tempo[Contact Tempo],Tempo[Time Decay],"Never")</f>
        <v>Never</v>
      </c>
      <c r="H51" t="str">
        <f>IF(ISBLANK(Table1[[#This Row],[City]]),"",IF(AND(Table1[[#This Row],[Country]]=Settings!$A$2, Table1[[#This Row],[City]]=Settings!$B$2),"Yes","No"))</f>
        <v/>
      </c>
      <c r="I51" t="str">
        <f>Table1[[#This Row],[Country]]&amp;Table1[[#This Row],[City]]</f>
        <v/>
      </c>
    </row>
    <row r="52" spans="1:9" x14ac:dyDescent="0.2">
      <c r="A52" s="4" t="str">
        <f ca="1">IF(K52="","",TODAY()-Table1[[#This Row],[Last Contacted]])</f>
        <v/>
      </c>
      <c r="B52" s="4" t="str">
        <f>_xlfn.XLOOKUP(Table1[[#This Row],[Contact Tempo]],Tempo[Contact Tempo],Tempo[Time Decay],"Never")</f>
        <v>Never</v>
      </c>
      <c r="H52" t="str">
        <f>IF(ISBLANK(Table1[[#This Row],[City]]),"",IF(AND(Table1[[#This Row],[Country]]=Settings!$A$2, Table1[[#This Row],[City]]=Settings!$B$2),"Yes","No"))</f>
        <v/>
      </c>
      <c r="I52" t="str">
        <f>Table1[[#This Row],[Country]]&amp;Table1[[#This Row],[City]]</f>
        <v/>
      </c>
    </row>
    <row r="53" spans="1:9" x14ac:dyDescent="0.2">
      <c r="A53" s="4" t="str">
        <f ca="1">IF(K53="","",TODAY()-Table1[[#This Row],[Last Contacted]])</f>
        <v/>
      </c>
      <c r="B53" s="4" t="str">
        <f>_xlfn.XLOOKUP(Table1[[#This Row],[Contact Tempo]],Tempo[Contact Tempo],Tempo[Time Decay],"Never")</f>
        <v>Never</v>
      </c>
      <c r="H53" t="str">
        <f>IF(ISBLANK(Table1[[#This Row],[City]]),"",IF(AND(Table1[[#This Row],[Country]]=Settings!$A$2, Table1[[#This Row],[City]]=Settings!$B$2),"Yes","No"))</f>
        <v/>
      </c>
      <c r="I53" t="str">
        <f>Table1[[#This Row],[Country]]&amp;Table1[[#This Row],[City]]</f>
        <v/>
      </c>
    </row>
    <row r="54" spans="1:9" x14ac:dyDescent="0.2">
      <c r="A54" s="4" t="str">
        <f ca="1">IF(K54="","",TODAY()-Table1[[#This Row],[Last Contacted]])</f>
        <v/>
      </c>
      <c r="B54" s="4" t="str">
        <f>_xlfn.XLOOKUP(Table1[[#This Row],[Contact Tempo]],Tempo[Contact Tempo],Tempo[Time Decay],"Never")</f>
        <v>Never</v>
      </c>
      <c r="H54" t="str">
        <f>IF(ISBLANK(Table1[[#This Row],[City]]),"",IF(AND(Table1[[#This Row],[Country]]=Settings!$A$2, Table1[[#This Row],[City]]=Settings!$B$2),"Yes","No"))</f>
        <v/>
      </c>
      <c r="I54" t="str">
        <f>Table1[[#This Row],[Country]]&amp;Table1[[#This Row],[City]]</f>
        <v/>
      </c>
    </row>
    <row r="55" spans="1:9" x14ac:dyDescent="0.2">
      <c r="A55" s="4" t="str">
        <f ca="1">IF(K55="","",TODAY()-Table1[[#This Row],[Last Contacted]])</f>
        <v/>
      </c>
      <c r="B55" s="4" t="str">
        <f>_xlfn.XLOOKUP(Table1[[#This Row],[Contact Tempo]],Tempo[Contact Tempo],Tempo[Time Decay],"Never")</f>
        <v>Never</v>
      </c>
      <c r="H55" t="str">
        <f>IF(ISBLANK(Table1[[#This Row],[City]]),"",IF(AND(Table1[[#This Row],[Country]]=Settings!$A$2, Table1[[#This Row],[City]]=Settings!$B$2),"Yes","No"))</f>
        <v/>
      </c>
      <c r="I55" t="str">
        <f>Table1[[#This Row],[Country]]&amp;Table1[[#This Row],[City]]</f>
        <v/>
      </c>
    </row>
    <row r="56" spans="1:9" x14ac:dyDescent="0.2">
      <c r="A56" s="4" t="str">
        <f ca="1">IF(K56="","",TODAY()-Table1[[#This Row],[Last Contacted]])</f>
        <v/>
      </c>
      <c r="B56" s="4" t="str">
        <f>_xlfn.XLOOKUP(Table1[[#This Row],[Contact Tempo]],Tempo[Contact Tempo],Tempo[Time Decay],"Never")</f>
        <v>Never</v>
      </c>
      <c r="H56" t="str">
        <f>IF(ISBLANK(Table1[[#This Row],[City]]),"",IF(AND(Table1[[#This Row],[Country]]=Settings!$A$2, Table1[[#This Row],[City]]=Settings!$B$2),"Yes","No"))</f>
        <v/>
      </c>
      <c r="I56" t="str">
        <f>Table1[[#This Row],[Country]]&amp;Table1[[#This Row],[City]]</f>
        <v/>
      </c>
    </row>
    <row r="57" spans="1:9" x14ac:dyDescent="0.2">
      <c r="A57" s="4" t="str">
        <f ca="1">IF(K57="","",TODAY()-Table1[[#This Row],[Last Contacted]])</f>
        <v/>
      </c>
      <c r="B57" s="4" t="str">
        <f>_xlfn.XLOOKUP(Table1[[#This Row],[Contact Tempo]],Tempo[Contact Tempo],Tempo[Time Decay],"Never")</f>
        <v>Never</v>
      </c>
      <c r="H57" t="str">
        <f>IF(ISBLANK(Table1[[#This Row],[City]]),"",IF(AND(Table1[[#This Row],[Country]]=Settings!$A$2, Table1[[#This Row],[City]]=Settings!$B$2),"Yes","No"))</f>
        <v/>
      </c>
      <c r="I57" t="str">
        <f>Table1[[#This Row],[Country]]&amp;Table1[[#This Row],[City]]</f>
        <v/>
      </c>
    </row>
    <row r="58" spans="1:9" x14ac:dyDescent="0.2">
      <c r="A58" s="4" t="str">
        <f ca="1">IF(K58="","",TODAY()-Table1[[#This Row],[Last Contacted]])</f>
        <v/>
      </c>
      <c r="B58" s="4" t="str">
        <f>_xlfn.XLOOKUP(Table1[[#This Row],[Contact Tempo]],Tempo[Contact Tempo],Tempo[Time Decay],"Never")</f>
        <v>Never</v>
      </c>
      <c r="H58" t="str">
        <f>IF(ISBLANK(Table1[[#This Row],[City]]),"",IF(AND(Table1[[#This Row],[Country]]=Settings!$A$2, Table1[[#This Row],[City]]=Settings!$B$2),"Yes","No"))</f>
        <v/>
      </c>
      <c r="I58" t="str">
        <f>Table1[[#This Row],[Country]]&amp;Table1[[#This Row],[City]]</f>
        <v/>
      </c>
    </row>
    <row r="59" spans="1:9" x14ac:dyDescent="0.2">
      <c r="A59" s="4" t="str">
        <f ca="1">IF(K59="","",TODAY()-Table1[[#This Row],[Last Contacted]])</f>
        <v/>
      </c>
      <c r="B59" s="4" t="str">
        <f>_xlfn.XLOOKUP(Table1[[#This Row],[Contact Tempo]],Tempo[Contact Tempo],Tempo[Time Decay],"Never")</f>
        <v>Never</v>
      </c>
      <c r="H59" t="str">
        <f>IF(ISBLANK(Table1[[#This Row],[City]]),"",IF(AND(Table1[[#This Row],[Country]]=Settings!$A$2, Table1[[#This Row],[City]]=Settings!$B$2),"Yes","No"))</f>
        <v/>
      </c>
      <c r="I59" t="str">
        <f>Table1[[#This Row],[Country]]&amp;Table1[[#This Row],[City]]</f>
        <v/>
      </c>
    </row>
    <row r="60" spans="1:9" x14ac:dyDescent="0.2">
      <c r="A60" s="4" t="str">
        <f ca="1">IF(K60="","",TODAY()-Table1[[#This Row],[Last Contacted]])</f>
        <v/>
      </c>
      <c r="B60" s="4" t="str">
        <f>_xlfn.XLOOKUP(Table1[[#This Row],[Contact Tempo]],Tempo[Contact Tempo],Tempo[Time Decay],"Never")</f>
        <v>Never</v>
      </c>
      <c r="H60" t="str">
        <f>IF(ISBLANK(Table1[[#This Row],[City]]),"",IF(AND(Table1[[#This Row],[Country]]=Settings!$A$2, Table1[[#This Row],[City]]=Settings!$B$2),"Yes","No"))</f>
        <v/>
      </c>
      <c r="I60" t="str">
        <f>Table1[[#This Row],[Country]]&amp;Table1[[#This Row],[City]]</f>
        <v/>
      </c>
    </row>
    <row r="61" spans="1:9" x14ac:dyDescent="0.2">
      <c r="A61" s="4" t="str">
        <f ca="1">IF(K61="","",TODAY()-Table1[[#This Row],[Last Contacted]])</f>
        <v/>
      </c>
      <c r="B61" s="4" t="str">
        <f>_xlfn.XLOOKUP(Table1[[#This Row],[Contact Tempo]],Tempo[Contact Tempo],Tempo[Time Decay],"Never")</f>
        <v>Never</v>
      </c>
      <c r="H61" t="str">
        <f>IF(ISBLANK(Table1[[#This Row],[City]]),"",IF(AND(Table1[[#This Row],[Country]]=Settings!$A$2, Table1[[#This Row],[City]]=Settings!$B$2),"Yes","No"))</f>
        <v/>
      </c>
      <c r="I61" t="str">
        <f>Table1[[#This Row],[Country]]&amp;Table1[[#This Row],[City]]</f>
        <v/>
      </c>
    </row>
    <row r="62" spans="1:9" x14ac:dyDescent="0.2">
      <c r="A62" s="4" t="str">
        <f ca="1">IF(K62="","",TODAY()-Table1[[#This Row],[Last Contacted]])</f>
        <v/>
      </c>
      <c r="B62" s="4" t="str">
        <f>_xlfn.XLOOKUP(Table1[[#This Row],[Contact Tempo]],Tempo[Contact Tempo],Tempo[Time Decay],"Never")</f>
        <v>Never</v>
      </c>
      <c r="H62" t="str">
        <f>IF(ISBLANK(Table1[[#This Row],[City]]),"",IF(AND(Table1[[#This Row],[Country]]=Settings!$A$2, Table1[[#This Row],[City]]=Settings!$B$2),"Yes","No"))</f>
        <v/>
      </c>
      <c r="I62" t="str">
        <f>Table1[[#This Row],[Country]]&amp;Table1[[#This Row],[City]]</f>
        <v/>
      </c>
    </row>
    <row r="63" spans="1:9" x14ac:dyDescent="0.2">
      <c r="A63" s="4" t="str">
        <f ca="1">IF(K63="","",TODAY()-Table1[[#This Row],[Last Contacted]])</f>
        <v/>
      </c>
      <c r="B63" s="4" t="str">
        <f>_xlfn.XLOOKUP(Table1[[#This Row],[Contact Tempo]],Tempo[Contact Tempo],Tempo[Time Decay],"Never")</f>
        <v>Never</v>
      </c>
      <c r="H63" t="str">
        <f>IF(ISBLANK(Table1[[#This Row],[City]]),"",IF(AND(Table1[[#This Row],[Country]]=Settings!$A$2, Table1[[#This Row],[City]]=Settings!$B$2),"Yes","No"))</f>
        <v/>
      </c>
      <c r="I63" t="str">
        <f>Table1[[#This Row],[Country]]&amp;Table1[[#This Row],[City]]</f>
        <v/>
      </c>
    </row>
    <row r="64" spans="1:9" x14ac:dyDescent="0.2">
      <c r="A64" s="4" t="str">
        <f ca="1">IF(K64="","",TODAY()-Table1[[#This Row],[Last Contacted]])</f>
        <v/>
      </c>
      <c r="B64" s="4" t="str">
        <f>_xlfn.XLOOKUP(Table1[[#This Row],[Contact Tempo]],Tempo[Contact Tempo],Tempo[Time Decay],"Never")</f>
        <v>Never</v>
      </c>
      <c r="H64" t="str">
        <f>IF(ISBLANK(Table1[[#This Row],[City]]),"",IF(AND(Table1[[#This Row],[Country]]=Settings!$A$2, Table1[[#This Row],[City]]=Settings!$B$2),"Yes","No"))</f>
        <v/>
      </c>
      <c r="I64" t="str">
        <f>Table1[[#This Row],[Country]]&amp;Table1[[#This Row],[City]]</f>
        <v/>
      </c>
    </row>
    <row r="65" spans="1:9" x14ac:dyDescent="0.2">
      <c r="A65" s="4" t="str">
        <f ca="1">IF(K65="","",TODAY()-Table1[[#This Row],[Last Contacted]])</f>
        <v/>
      </c>
      <c r="B65" s="4" t="str">
        <f>_xlfn.XLOOKUP(Table1[[#This Row],[Contact Tempo]],Tempo[Contact Tempo],Tempo[Time Decay],"Never")</f>
        <v>Never</v>
      </c>
      <c r="H65" t="str">
        <f>IF(ISBLANK(Table1[[#This Row],[City]]),"",IF(AND(Table1[[#This Row],[Country]]=Settings!$A$2, Table1[[#This Row],[City]]=Settings!$B$2),"Yes","No"))</f>
        <v/>
      </c>
      <c r="I65" t="str">
        <f>Table1[[#This Row],[Country]]&amp;Table1[[#This Row],[City]]</f>
        <v/>
      </c>
    </row>
    <row r="66" spans="1:9" x14ac:dyDescent="0.2">
      <c r="A66" s="4" t="str">
        <f ca="1">IF(K66="","",TODAY()-Table1[[#This Row],[Last Contacted]])</f>
        <v/>
      </c>
      <c r="B66" s="4" t="str">
        <f>_xlfn.XLOOKUP(Table1[[#This Row],[Contact Tempo]],Tempo[Contact Tempo],Tempo[Time Decay],"Never")</f>
        <v>Never</v>
      </c>
      <c r="H66" t="str">
        <f>IF(ISBLANK(Table1[[#This Row],[City]]),"",IF(AND(Table1[[#This Row],[Country]]=Settings!$A$2, Table1[[#This Row],[City]]=Settings!$B$2),"Yes","No"))</f>
        <v/>
      </c>
      <c r="I66" t="str">
        <f>Table1[[#This Row],[Country]]&amp;Table1[[#This Row],[City]]</f>
        <v/>
      </c>
    </row>
    <row r="67" spans="1:9" x14ac:dyDescent="0.2">
      <c r="A67" s="4" t="str">
        <f ca="1">IF(K67="","",TODAY()-Table1[[#This Row],[Last Contacted]])</f>
        <v/>
      </c>
      <c r="B67" s="4" t="str">
        <f>_xlfn.XLOOKUP(Table1[[#This Row],[Contact Tempo]],Tempo[Contact Tempo],Tempo[Time Decay],"Never")</f>
        <v>Never</v>
      </c>
      <c r="H67" t="str">
        <f>IF(ISBLANK(Table1[[#This Row],[City]]),"",IF(AND(Table1[[#This Row],[Country]]=Settings!$A$2, Table1[[#This Row],[City]]=Settings!$B$2),"Yes","No"))</f>
        <v/>
      </c>
      <c r="I67" t="str">
        <f>Table1[[#This Row],[Country]]&amp;Table1[[#This Row],[City]]</f>
        <v/>
      </c>
    </row>
    <row r="68" spans="1:9" x14ac:dyDescent="0.2">
      <c r="A68" s="4" t="str">
        <f ca="1">IF(K68="","",TODAY()-Table1[[#This Row],[Last Contacted]])</f>
        <v/>
      </c>
      <c r="B68" s="4" t="str">
        <f>_xlfn.XLOOKUP(Table1[[#This Row],[Contact Tempo]],Tempo[Contact Tempo],Tempo[Time Decay],"Never")</f>
        <v>Never</v>
      </c>
      <c r="H68" t="str">
        <f>IF(ISBLANK(Table1[[#This Row],[City]]),"",IF(AND(Table1[[#This Row],[Country]]=Settings!$A$2, Table1[[#This Row],[City]]=Settings!$B$2),"Yes","No"))</f>
        <v/>
      </c>
      <c r="I68" t="str">
        <f>Table1[[#This Row],[Country]]&amp;Table1[[#This Row],[City]]</f>
        <v/>
      </c>
    </row>
    <row r="69" spans="1:9" x14ac:dyDescent="0.2">
      <c r="A69" s="4" t="str">
        <f ca="1">IF(K69="","",TODAY()-Table1[[#This Row],[Last Contacted]])</f>
        <v/>
      </c>
      <c r="B69" s="4" t="str">
        <f>_xlfn.XLOOKUP(Table1[[#This Row],[Contact Tempo]],Tempo[Contact Tempo],Tempo[Time Decay],"Never")</f>
        <v>Never</v>
      </c>
      <c r="H69" t="str">
        <f>IF(ISBLANK(Table1[[#This Row],[City]]),"",IF(AND(Table1[[#This Row],[Country]]=Settings!$A$2, Table1[[#This Row],[City]]=Settings!$B$2),"Yes","No"))</f>
        <v/>
      </c>
      <c r="I69" t="str">
        <f>Table1[[#This Row],[Country]]&amp;Table1[[#This Row],[City]]</f>
        <v/>
      </c>
    </row>
    <row r="70" spans="1:9" x14ac:dyDescent="0.2">
      <c r="A70" s="4" t="str">
        <f ca="1">IF(K70="","",TODAY()-Table1[[#This Row],[Last Contacted]])</f>
        <v/>
      </c>
      <c r="B70" s="4" t="str">
        <f>_xlfn.XLOOKUP(Table1[[#This Row],[Contact Tempo]],Tempo[Contact Tempo],Tempo[Time Decay],"Never")</f>
        <v>Never</v>
      </c>
      <c r="H70" t="str">
        <f>IF(ISBLANK(Table1[[#This Row],[City]]),"",IF(AND(Table1[[#This Row],[Country]]=Settings!$A$2, Table1[[#This Row],[City]]=Settings!$B$2),"Yes","No"))</f>
        <v/>
      </c>
      <c r="I70" t="str">
        <f>Table1[[#This Row],[Country]]&amp;Table1[[#This Row],[City]]</f>
        <v/>
      </c>
    </row>
    <row r="71" spans="1:9" x14ac:dyDescent="0.2">
      <c r="A71" s="4" t="str">
        <f ca="1">IF(K71="","",TODAY()-Table1[[#This Row],[Last Contacted]])</f>
        <v/>
      </c>
      <c r="B71" s="4" t="str">
        <f>_xlfn.XLOOKUP(Table1[[#This Row],[Contact Tempo]],Tempo[Contact Tempo],Tempo[Time Decay],"Never")</f>
        <v>Never</v>
      </c>
      <c r="H71" t="str">
        <f>IF(ISBLANK(Table1[[#This Row],[City]]),"",IF(AND(Table1[[#This Row],[Country]]=Settings!$A$2, Table1[[#This Row],[City]]=Settings!$B$2),"Yes","No"))</f>
        <v/>
      </c>
      <c r="I71" t="str">
        <f>Table1[[#This Row],[Country]]&amp;Table1[[#This Row],[City]]</f>
        <v/>
      </c>
    </row>
    <row r="72" spans="1:9" x14ac:dyDescent="0.2">
      <c r="A72" s="4" t="str">
        <f ca="1">IF(K72="","",TODAY()-Table1[[#This Row],[Last Contacted]])</f>
        <v/>
      </c>
      <c r="B72" s="4" t="str">
        <f>_xlfn.XLOOKUP(Table1[[#This Row],[Contact Tempo]],Tempo[Contact Tempo],Tempo[Time Decay],"Never")</f>
        <v>Never</v>
      </c>
      <c r="H72" t="str">
        <f>IF(ISBLANK(Table1[[#This Row],[City]]),"",IF(AND(Table1[[#This Row],[Country]]=Settings!$A$2, Table1[[#This Row],[City]]=Settings!$B$2),"Yes","No"))</f>
        <v/>
      </c>
      <c r="I72" t="str">
        <f>Table1[[#This Row],[Country]]&amp;Table1[[#This Row],[City]]</f>
        <v/>
      </c>
    </row>
    <row r="73" spans="1:9" x14ac:dyDescent="0.2">
      <c r="A73" s="4" t="str">
        <f ca="1">IF(K73="","",TODAY()-Table1[[#This Row],[Last Contacted]])</f>
        <v/>
      </c>
      <c r="B73" s="4" t="str">
        <f>_xlfn.XLOOKUP(Table1[[#This Row],[Contact Tempo]],Tempo[Contact Tempo],Tempo[Time Decay],"Never")</f>
        <v>Never</v>
      </c>
      <c r="H73" t="str">
        <f>IF(ISBLANK(Table1[[#This Row],[City]]),"",IF(AND(Table1[[#This Row],[Country]]=Settings!$A$2, Table1[[#This Row],[City]]=Settings!$B$2),"Yes","No"))</f>
        <v/>
      </c>
      <c r="I73" t="str">
        <f>Table1[[#This Row],[Country]]&amp;Table1[[#This Row],[City]]</f>
        <v/>
      </c>
    </row>
    <row r="74" spans="1:9" x14ac:dyDescent="0.2">
      <c r="A74" s="4" t="str">
        <f ca="1">IF(K74="","",TODAY()-Table1[[#This Row],[Last Contacted]])</f>
        <v/>
      </c>
      <c r="B74" s="4" t="str">
        <f>_xlfn.XLOOKUP(Table1[[#This Row],[Contact Tempo]],Tempo[Contact Tempo],Tempo[Time Decay],"Never")</f>
        <v>Never</v>
      </c>
      <c r="H74" t="str">
        <f>IF(ISBLANK(Table1[[#This Row],[City]]),"",IF(AND(Table1[[#This Row],[Country]]=Settings!$A$2, Table1[[#This Row],[City]]=Settings!$B$2),"Yes","No"))</f>
        <v/>
      </c>
      <c r="I74" t="str">
        <f>Table1[[#This Row],[Country]]&amp;Table1[[#This Row],[City]]</f>
        <v/>
      </c>
    </row>
    <row r="75" spans="1:9" x14ac:dyDescent="0.2">
      <c r="A75" s="4" t="str">
        <f ca="1">IF(K75="","",TODAY()-Table1[[#This Row],[Last Contacted]])</f>
        <v/>
      </c>
      <c r="B75" s="4" t="str">
        <f>_xlfn.XLOOKUP(Table1[[#This Row],[Contact Tempo]],Tempo[Contact Tempo],Tempo[Time Decay],"Never")</f>
        <v>Never</v>
      </c>
      <c r="H75" t="str">
        <f>IF(ISBLANK(Table1[[#This Row],[City]]),"",IF(AND(Table1[[#This Row],[Country]]=Settings!$A$2, Table1[[#This Row],[City]]=Settings!$B$2),"Yes","No"))</f>
        <v/>
      </c>
      <c r="I75" t="str">
        <f>Table1[[#This Row],[Country]]&amp;Table1[[#This Row],[City]]</f>
        <v/>
      </c>
    </row>
    <row r="76" spans="1:9" x14ac:dyDescent="0.2">
      <c r="A76" s="4" t="str">
        <f ca="1">IF(K76="","",TODAY()-Table1[[#This Row],[Last Contacted]])</f>
        <v/>
      </c>
      <c r="B76" s="4" t="str">
        <f>_xlfn.XLOOKUP(Table1[[#This Row],[Contact Tempo]],Tempo[Contact Tempo],Tempo[Time Decay],"Never")</f>
        <v>Never</v>
      </c>
      <c r="H76" t="str">
        <f>IF(ISBLANK(Table1[[#This Row],[City]]),"",IF(AND(Table1[[#This Row],[Country]]=Settings!$A$2, Table1[[#This Row],[City]]=Settings!$B$2),"Yes","No"))</f>
        <v/>
      </c>
      <c r="I76" t="str">
        <f>Table1[[#This Row],[Country]]&amp;Table1[[#This Row],[City]]</f>
        <v/>
      </c>
    </row>
    <row r="77" spans="1:9" x14ac:dyDescent="0.2">
      <c r="A77" s="4" t="str">
        <f ca="1">IF(K77="","",TODAY()-Table1[[#This Row],[Last Contacted]])</f>
        <v/>
      </c>
      <c r="B77" s="4" t="str">
        <f>_xlfn.XLOOKUP(Table1[[#This Row],[Contact Tempo]],Tempo[Contact Tempo],Tempo[Time Decay],"Never")</f>
        <v>Never</v>
      </c>
      <c r="H77" t="str">
        <f>IF(ISBLANK(Table1[[#This Row],[City]]),"",IF(AND(Table1[[#This Row],[Country]]=Settings!$A$2, Table1[[#This Row],[City]]=Settings!$B$2),"Yes","No"))</f>
        <v/>
      </c>
      <c r="I77" t="str">
        <f>Table1[[#This Row],[Country]]&amp;Table1[[#This Row],[City]]</f>
        <v/>
      </c>
    </row>
    <row r="78" spans="1:9" x14ac:dyDescent="0.2">
      <c r="A78" s="4" t="str">
        <f ca="1">IF(K78="","",TODAY()-Table1[[#This Row],[Last Contacted]])</f>
        <v/>
      </c>
      <c r="B78" s="4" t="str">
        <f>_xlfn.XLOOKUP(Table1[[#This Row],[Contact Tempo]],Tempo[Contact Tempo],Tempo[Time Decay],"Never")</f>
        <v>Never</v>
      </c>
      <c r="H78" t="str">
        <f>IF(ISBLANK(Table1[[#This Row],[City]]),"",IF(AND(Table1[[#This Row],[Country]]=Settings!$A$2, Table1[[#This Row],[City]]=Settings!$B$2),"Yes","No"))</f>
        <v/>
      </c>
      <c r="I78" t="str">
        <f>Table1[[#This Row],[Country]]&amp;Table1[[#This Row],[City]]</f>
        <v/>
      </c>
    </row>
    <row r="79" spans="1:9" x14ac:dyDescent="0.2">
      <c r="A79" s="4" t="str">
        <f ca="1">IF(K79="","",TODAY()-Table1[[#This Row],[Last Contacted]])</f>
        <v/>
      </c>
      <c r="B79" s="4" t="str">
        <f>_xlfn.XLOOKUP(Table1[[#This Row],[Contact Tempo]],Tempo[Contact Tempo],Tempo[Time Decay],"Never")</f>
        <v>Never</v>
      </c>
      <c r="H79" t="str">
        <f>IF(ISBLANK(Table1[[#This Row],[City]]),"",IF(AND(Table1[[#This Row],[Country]]=Settings!$A$2, Table1[[#This Row],[City]]=Settings!$B$2),"Yes","No"))</f>
        <v/>
      </c>
      <c r="I79" t="str">
        <f>Table1[[#This Row],[Country]]&amp;Table1[[#This Row],[City]]</f>
        <v/>
      </c>
    </row>
    <row r="80" spans="1:9" x14ac:dyDescent="0.2">
      <c r="A80" s="4" t="str">
        <f ca="1">IF(K80="","",TODAY()-Table1[[#This Row],[Last Contacted]])</f>
        <v/>
      </c>
      <c r="B80" s="4" t="str">
        <f>_xlfn.XLOOKUP(Table1[[#This Row],[Contact Tempo]],Tempo[Contact Tempo],Tempo[Time Decay],"Never")</f>
        <v>Never</v>
      </c>
      <c r="H80" t="str">
        <f>IF(ISBLANK(Table1[[#This Row],[City]]),"",IF(AND(Table1[[#This Row],[Country]]=Settings!$A$2, Table1[[#This Row],[City]]=Settings!$B$2),"Yes","No"))</f>
        <v/>
      </c>
      <c r="I80" t="str">
        <f>Table1[[#This Row],[Country]]&amp;Table1[[#This Row],[City]]</f>
        <v/>
      </c>
    </row>
    <row r="81" spans="1:9" x14ac:dyDescent="0.2">
      <c r="A81" s="4" t="str">
        <f ca="1">IF(K81="","",TODAY()-Table1[[#This Row],[Last Contacted]])</f>
        <v/>
      </c>
      <c r="B81" s="4" t="str">
        <f>_xlfn.XLOOKUP(Table1[[#This Row],[Contact Tempo]],Tempo[Contact Tempo],Tempo[Time Decay],"Never")</f>
        <v>Never</v>
      </c>
      <c r="H81" t="str">
        <f>IF(ISBLANK(Table1[[#This Row],[City]]),"",IF(AND(Table1[[#This Row],[Country]]=Settings!$A$2, Table1[[#This Row],[City]]=Settings!$B$2),"Yes","No"))</f>
        <v/>
      </c>
      <c r="I81" t="str">
        <f>Table1[[#This Row],[Country]]&amp;Table1[[#This Row],[City]]</f>
        <v/>
      </c>
    </row>
    <row r="82" spans="1:9" x14ac:dyDescent="0.2">
      <c r="A82" s="4" t="str">
        <f ca="1">IF(K82="","",TODAY()-Table1[[#This Row],[Last Contacted]])</f>
        <v/>
      </c>
      <c r="B82" s="4" t="str">
        <f>_xlfn.XLOOKUP(Table1[[#This Row],[Contact Tempo]],Tempo[Contact Tempo],Tempo[Time Decay],"Never")</f>
        <v>Never</v>
      </c>
      <c r="H82" t="str">
        <f>IF(ISBLANK(Table1[[#This Row],[City]]),"",IF(AND(Table1[[#This Row],[Country]]=Settings!$A$2, Table1[[#This Row],[City]]=Settings!$B$2),"Yes","No"))</f>
        <v/>
      </c>
      <c r="I82" t="str">
        <f>Table1[[#This Row],[Country]]&amp;Table1[[#This Row],[City]]</f>
        <v/>
      </c>
    </row>
    <row r="83" spans="1:9" x14ac:dyDescent="0.2">
      <c r="A83" s="4" t="str">
        <f ca="1">IF(K83="","",TODAY()-Table1[[#This Row],[Last Contacted]])</f>
        <v/>
      </c>
      <c r="B83" s="4" t="str">
        <f>_xlfn.XLOOKUP(Table1[[#This Row],[Contact Tempo]],Tempo[Contact Tempo],Tempo[Time Decay],"Never")</f>
        <v>Never</v>
      </c>
      <c r="H83" t="str">
        <f>IF(ISBLANK(Table1[[#This Row],[City]]),"",IF(AND(Table1[[#This Row],[Country]]=Settings!$A$2, Table1[[#This Row],[City]]=Settings!$B$2),"Yes","No"))</f>
        <v/>
      </c>
      <c r="I83" t="str">
        <f>Table1[[#This Row],[Country]]&amp;Table1[[#This Row],[City]]</f>
        <v/>
      </c>
    </row>
    <row r="84" spans="1:9" x14ac:dyDescent="0.2">
      <c r="A84" s="4" t="str">
        <f ca="1">IF(K84="","",TODAY()-Table1[[#This Row],[Last Contacted]])</f>
        <v/>
      </c>
      <c r="B84" s="4" t="str">
        <f>_xlfn.XLOOKUP(Table1[[#This Row],[Contact Tempo]],Tempo[Contact Tempo],Tempo[Time Decay],"Never")</f>
        <v>Never</v>
      </c>
      <c r="H84" t="str">
        <f>IF(ISBLANK(Table1[[#This Row],[City]]),"",IF(AND(Table1[[#This Row],[Country]]=Settings!$A$2, Table1[[#This Row],[City]]=Settings!$B$2),"Yes","No"))</f>
        <v/>
      </c>
      <c r="I84" t="str">
        <f>Table1[[#This Row],[Country]]&amp;Table1[[#This Row],[City]]</f>
        <v/>
      </c>
    </row>
    <row r="85" spans="1:9" x14ac:dyDescent="0.2">
      <c r="A85" s="4" t="str">
        <f ca="1">IF(K85="","",TODAY()-Table1[[#This Row],[Last Contacted]])</f>
        <v/>
      </c>
      <c r="B85" s="4" t="str">
        <f>_xlfn.XLOOKUP(Table1[[#This Row],[Contact Tempo]],Tempo[Contact Tempo],Tempo[Time Decay],"Never")</f>
        <v>Never</v>
      </c>
      <c r="H85" t="str">
        <f>IF(ISBLANK(Table1[[#This Row],[City]]),"",IF(AND(Table1[[#This Row],[Country]]=Settings!$A$2, Table1[[#This Row],[City]]=Settings!$B$2),"Yes","No"))</f>
        <v/>
      </c>
      <c r="I85" t="str">
        <f>Table1[[#This Row],[Country]]&amp;Table1[[#This Row],[City]]</f>
        <v/>
      </c>
    </row>
    <row r="86" spans="1:9" x14ac:dyDescent="0.2">
      <c r="A86" s="4" t="str">
        <f ca="1">IF(K86="","",TODAY()-Table1[[#This Row],[Last Contacted]])</f>
        <v/>
      </c>
      <c r="B86" s="4" t="str">
        <f>_xlfn.XLOOKUP(Table1[[#This Row],[Contact Tempo]],Tempo[Contact Tempo],Tempo[Time Decay],"Never")</f>
        <v>Never</v>
      </c>
      <c r="H86" t="str">
        <f>IF(ISBLANK(Table1[[#This Row],[City]]),"",IF(AND(Table1[[#This Row],[Country]]=Settings!$A$2, Table1[[#This Row],[City]]=Settings!$B$2),"Yes","No"))</f>
        <v/>
      </c>
      <c r="I86" t="str">
        <f>Table1[[#This Row],[Country]]&amp;Table1[[#This Row],[City]]</f>
        <v/>
      </c>
    </row>
    <row r="87" spans="1:9" x14ac:dyDescent="0.2">
      <c r="A87" s="4" t="str">
        <f ca="1">IF(K87="","",TODAY()-Table1[[#This Row],[Last Contacted]])</f>
        <v/>
      </c>
      <c r="B87" s="4" t="str">
        <f>_xlfn.XLOOKUP(Table1[[#This Row],[Contact Tempo]],Tempo[Contact Tempo],Tempo[Time Decay],"Never")</f>
        <v>Never</v>
      </c>
      <c r="H87" t="str">
        <f>IF(ISBLANK(Table1[[#This Row],[City]]),"",IF(AND(Table1[[#This Row],[Country]]=Settings!$A$2, Table1[[#This Row],[City]]=Settings!$B$2),"Yes","No"))</f>
        <v/>
      </c>
      <c r="I87" t="str">
        <f>Table1[[#This Row],[Country]]&amp;Table1[[#This Row],[City]]</f>
        <v/>
      </c>
    </row>
    <row r="88" spans="1:9" x14ac:dyDescent="0.2">
      <c r="A88" s="4" t="str">
        <f ca="1">IF(K88="","",TODAY()-Table1[[#This Row],[Last Contacted]])</f>
        <v/>
      </c>
      <c r="B88" s="4" t="str">
        <f>_xlfn.XLOOKUP(Table1[[#This Row],[Contact Tempo]],Tempo[Contact Tempo],Tempo[Time Decay],"Never")</f>
        <v>Never</v>
      </c>
      <c r="H88" t="str">
        <f>IF(ISBLANK(Table1[[#This Row],[City]]),"",IF(AND(Table1[[#This Row],[Country]]=Settings!$A$2, Table1[[#This Row],[City]]=Settings!$B$2),"Yes","No"))</f>
        <v/>
      </c>
      <c r="I88" t="str">
        <f>Table1[[#This Row],[Country]]&amp;Table1[[#This Row],[City]]</f>
        <v/>
      </c>
    </row>
    <row r="89" spans="1:9" x14ac:dyDescent="0.2">
      <c r="A89" s="4" t="str">
        <f ca="1">IF(K89="","",TODAY()-Table1[[#This Row],[Last Contacted]])</f>
        <v/>
      </c>
      <c r="B89" s="4" t="str">
        <f>_xlfn.XLOOKUP(Table1[[#This Row],[Contact Tempo]],Tempo[Contact Tempo],Tempo[Time Decay],"Never")</f>
        <v>Never</v>
      </c>
      <c r="H89" t="str">
        <f>IF(ISBLANK(Table1[[#This Row],[City]]),"",IF(AND(Table1[[#This Row],[Country]]=Settings!$A$2, Table1[[#This Row],[City]]=Settings!$B$2),"Yes","No"))</f>
        <v/>
      </c>
      <c r="I89" t="str">
        <f>Table1[[#This Row],[Country]]&amp;Table1[[#This Row],[City]]</f>
        <v/>
      </c>
    </row>
    <row r="90" spans="1:9" x14ac:dyDescent="0.2">
      <c r="A90" s="4" t="str">
        <f ca="1">IF(K90="","",TODAY()-Table1[[#This Row],[Last Contacted]])</f>
        <v/>
      </c>
      <c r="B90" s="4" t="str">
        <f>_xlfn.XLOOKUP(Table1[[#This Row],[Contact Tempo]],Tempo[Contact Tempo],Tempo[Time Decay],"Never")</f>
        <v>Never</v>
      </c>
      <c r="H90" t="str">
        <f>IF(ISBLANK(Table1[[#This Row],[City]]),"",IF(AND(Table1[[#This Row],[Country]]=Settings!$A$2, Table1[[#This Row],[City]]=Settings!$B$2),"Yes","No"))</f>
        <v/>
      </c>
      <c r="I90" t="str">
        <f>Table1[[#This Row],[Country]]&amp;Table1[[#This Row],[City]]</f>
        <v/>
      </c>
    </row>
    <row r="91" spans="1:9" x14ac:dyDescent="0.2">
      <c r="A91" s="4" t="str">
        <f ca="1">IF(K91="","",TODAY()-Table1[[#This Row],[Last Contacted]])</f>
        <v/>
      </c>
      <c r="B91" s="4" t="str">
        <f>_xlfn.XLOOKUP(Table1[[#This Row],[Contact Tempo]],Tempo[Contact Tempo],Tempo[Time Decay],"Never")</f>
        <v>Never</v>
      </c>
      <c r="H91" t="str">
        <f>IF(ISBLANK(Table1[[#This Row],[City]]),"",IF(AND(Table1[[#This Row],[Country]]=Settings!$A$2, Table1[[#This Row],[City]]=Settings!$B$2),"Yes","No"))</f>
        <v/>
      </c>
      <c r="I91" t="str">
        <f>Table1[[#This Row],[Country]]&amp;Table1[[#This Row],[City]]</f>
        <v/>
      </c>
    </row>
    <row r="92" spans="1:9" x14ac:dyDescent="0.2">
      <c r="A92" s="4" t="str">
        <f ca="1">IF(K92="","",TODAY()-Table1[[#This Row],[Last Contacted]])</f>
        <v/>
      </c>
      <c r="B92" s="4" t="str">
        <f>_xlfn.XLOOKUP(Table1[[#This Row],[Contact Tempo]],Tempo[Contact Tempo],Tempo[Time Decay],"Never")</f>
        <v>Never</v>
      </c>
      <c r="H92" t="str">
        <f>IF(ISBLANK(Table1[[#This Row],[City]]),"",IF(AND(Table1[[#This Row],[Country]]=Settings!$A$2, Table1[[#This Row],[City]]=Settings!$B$2),"Yes","No"))</f>
        <v/>
      </c>
      <c r="I92" t="str">
        <f>Table1[[#This Row],[Country]]&amp;Table1[[#This Row],[City]]</f>
        <v/>
      </c>
    </row>
    <row r="93" spans="1:9" x14ac:dyDescent="0.2">
      <c r="A93" s="4" t="str">
        <f ca="1">IF(K93="","",TODAY()-Table1[[#This Row],[Last Contacted]])</f>
        <v/>
      </c>
      <c r="B93" s="4" t="str">
        <f>_xlfn.XLOOKUP(Table1[[#This Row],[Contact Tempo]],Tempo[Contact Tempo],Tempo[Time Decay],"Never")</f>
        <v>Never</v>
      </c>
      <c r="H93" t="str">
        <f>IF(ISBLANK(Table1[[#This Row],[City]]),"",IF(AND(Table1[[#This Row],[Country]]=Settings!$A$2, Table1[[#This Row],[City]]=Settings!$B$2),"Yes","No"))</f>
        <v/>
      </c>
      <c r="I93" t="str">
        <f>Table1[[#This Row],[Country]]&amp;Table1[[#This Row],[City]]</f>
        <v/>
      </c>
    </row>
    <row r="94" spans="1:9" x14ac:dyDescent="0.2">
      <c r="A94" s="4" t="str">
        <f ca="1">IF(K94="","",TODAY()-Table1[[#This Row],[Last Contacted]])</f>
        <v/>
      </c>
      <c r="B94" s="4" t="str">
        <f>_xlfn.XLOOKUP(Table1[[#This Row],[Contact Tempo]],Tempo[Contact Tempo],Tempo[Time Decay],"Never")</f>
        <v>Never</v>
      </c>
      <c r="H94" t="str">
        <f>IF(ISBLANK(Table1[[#This Row],[City]]),"",IF(AND(Table1[[#This Row],[Country]]=Settings!$A$2, Table1[[#This Row],[City]]=Settings!$B$2),"Yes","No"))</f>
        <v/>
      </c>
      <c r="I94" t="str">
        <f>Table1[[#This Row],[Country]]&amp;Table1[[#This Row],[City]]</f>
        <v/>
      </c>
    </row>
    <row r="95" spans="1:9" x14ac:dyDescent="0.2">
      <c r="A95" s="4" t="str">
        <f ca="1">IF(K95="","",TODAY()-Table1[[#This Row],[Last Contacted]])</f>
        <v/>
      </c>
      <c r="B95" s="4" t="str">
        <f>_xlfn.XLOOKUP(Table1[[#This Row],[Contact Tempo]],Tempo[Contact Tempo],Tempo[Time Decay],"Never")</f>
        <v>Never</v>
      </c>
      <c r="H95" t="str">
        <f>IF(ISBLANK(Table1[[#This Row],[City]]),"",IF(AND(Table1[[#This Row],[Country]]=Settings!$A$2, Table1[[#This Row],[City]]=Settings!$B$2),"Yes","No"))</f>
        <v/>
      </c>
      <c r="I95" t="str">
        <f>Table1[[#This Row],[Country]]&amp;Table1[[#This Row],[City]]</f>
        <v/>
      </c>
    </row>
    <row r="96" spans="1:9" x14ac:dyDescent="0.2">
      <c r="A96" s="4" t="str">
        <f ca="1">IF(K96="","",TODAY()-Table1[[#This Row],[Last Contacted]])</f>
        <v/>
      </c>
      <c r="B96" s="4" t="str">
        <f>_xlfn.XLOOKUP(Table1[[#This Row],[Contact Tempo]],Tempo[Contact Tempo],Tempo[Time Decay],"Never")</f>
        <v>Never</v>
      </c>
      <c r="H96" t="str">
        <f>IF(ISBLANK(Table1[[#This Row],[City]]),"",IF(AND(Table1[[#This Row],[Country]]=Settings!$A$2, Table1[[#This Row],[City]]=Settings!$B$2),"Yes","No"))</f>
        <v/>
      </c>
      <c r="I96" t="str">
        <f>Table1[[#This Row],[Country]]&amp;Table1[[#This Row],[City]]</f>
        <v/>
      </c>
    </row>
    <row r="97" spans="1:9" x14ac:dyDescent="0.2">
      <c r="A97" s="4" t="str">
        <f ca="1">IF(K97="","",TODAY()-Table1[[#This Row],[Last Contacted]])</f>
        <v/>
      </c>
      <c r="B97" s="4" t="str">
        <f>_xlfn.XLOOKUP(Table1[[#This Row],[Contact Tempo]],Tempo[Contact Tempo],Tempo[Time Decay],"Never")</f>
        <v>Never</v>
      </c>
      <c r="H97" t="str">
        <f>IF(ISBLANK(Table1[[#This Row],[City]]),"",IF(AND(Table1[[#This Row],[Country]]=Settings!$A$2, Table1[[#This Row],[City]]=Settings!$B$2),"Yes","No"))</f>
        <v/>
      </c>
      <c r="I97" t="str">
        <f>Table1[[#This Row],[Country]]&amp;Table1[[#This Row],[City]]</f>
        <v/>
      </c>
    </row>
    <row r="98" spans="1:9" x14ac:dyDescent="0.2">
      <c r="A98" s="4" t="str">
        <f ca="1">IF(K98="","",TODAY()-Table1[[#This Row],[Last Contacted]])</f>
        <v/>
      </c>
      <c r="B98" s="4" t="str">
        <f>_xlfn.XLOOKUP(Table1[[#This Row],[Contact Tempo]],Tempo[Contact Tempo],Tempo[Time Decay],"Never")</f>
        <v>Never</v>
      </c>
      <c r="H98" t="str">
        <f>IF(ISBLANK(Table1[[#This Row],[City]]),"",IF(AND(Table1[[#This Row],[Country]]=Settings!$A$2, Table1[[#This Row],[City]]=Settings!$B$2),"Yes","No"))</f>
        <v/>
      </c>
      <c r="I98" t="str">
        <f>Table1[[#This Row],[Country]]&amp;Table1[[#This Row],[City]]</f>
        <v/>
      </c>
    </row>
    <row r="99" spans="1:9" x14ac:dyDescent="0.2">
      <c r="A99" s="4" t="str">
        <f ca="1">IF(K99="","",TODAY()-Table1[[#This Row],[Last Contacted]])</f>
        <v/>
      </c>
      <c r="B99" s="4" t="str">
        <f>_xlfn.XLOOKUP(Table1[[#This Row],[Contact Tempo]],Tempo[Contact Tempo],Tempo[Time Decay],"Never")</f>
        <v>Never</v>
      </c>
      <c r="H99" t="str">
        <f>IF(ISBLANK(Table1[[#This Row],[City]]),"",IF(AND(Table1[[#This Row],[Country]]=Settings!$A$2, Table1[[#This Row],[City]]=Settings!$B$2),"Yes","No"))</f>
        <v/>
      </c>
      <c r="I99" t="str">
        <f>Table1[[#This Row],[Country]]&amp;Table1[[#This Row],[City]]</f>
        <v/>
      </c>
    </row>
    <row r="100" spans="1:9" x14ac:dyDescent="0.2">
      <c r="A100" s="4" t="str">
        <f ca="1">IF(K100="","",TODAY()-Table1[[#This Row],[Last Contacted]])</f>
        <v/>
      </c>
      <c r="B100" s="4" t="str">
        <f>_xlfn.XLOOKUP(Table1[[#This Row],[Contact Tempo]],Tempo[Contact Tempo],Tempo[Time Decay],"Never")</f>
        <v>Never</v>
      </c>
      <c r="H100" t="str">
        <f>IF(ISBLANK(Table1[[#This Row],[City]]),"",IF(AND(Table1[[#This Row],[Country]]=Settings!$A$2, Table1[[#This Row],[City]]=Settings!$B$2),"Yes","No"))</f>
        <v/>
      </c>
      <c r="I100" t="str">
        <f>Table1[[#This Row],[Country]]&amp;Table1[[#This Row],[City]]</f>
        <v/>
      </c>
    </row>
    <row r="101" spans="1:9" x14ac:dyDescent="0.2">
      <c r="A101" s="4" t="str">
        <f ca="1">IF(K101="","",TODAY()-Table1[[#This Row],[Last Contacted]])</f>
        <v/>
      </c>
      <c r="B101" s="4" t="str">
        <f>_xlfn.XLOOKUP(Table1[[#This Row],[Contact Tempo]],Tempo[Contact Tempo],Tempo[Time Decay],"Never")</f>
        <v>Never</v>
      </c>
      <c r="H101" t="str">
        <f>IF(ISBLANK(Table1[[#This Row],[City]]),"",IF(AND(Table1[[#This Row],[Country]]=Settings!$A$2, Table1[[#This Row],[City]]=Settings!$B$2),"Yes","No"))</f>
        <v/>
      </c>
      <c r="I101" t="str">
        <f>Table1[[#This Row],[Country]]&amp;Table1[[#This Row],[City]]</f>
        <v/>
      </c>
    </row>
    <row r="102" spans="1:9" x14ac:dyDescent="0.2">
      <c r="A102" s="4" t="str">
        <f ca="1">IF(K102="","",TODAY()-Table1[[#This Row],[Last Contacted]])</f>
        <v/>
      </c>
      <c r="B102" s="4" t="str">
        <f>_xlfn.XLOOKUP(Table1[[#This Row],[Contact Tempo]],Tempo[Contact Tempo],Tempo[Time Decay],"Never")</f>
        <v>Never</v>
      </c>
      <c r="H102" t="str">
        <f>IF(ISBLANK(Table1[[#This Row],[City]]),"",IF(AND(Table1[[#This Row],[Country]]=Settings!$A$2, Table1[[#This Row],[City]]=Settings!$B$2),"Yes","No"))</f>
        <v/>
      </c>
      <c r="I102" t="str">
        <f>Table1[[#This Row],[Country]]&amp;Table1[[#This Row],[City]]</f>
        <v/>
      </c>
    </row>
    <row r="103" spans="1:9" x14ac:dyDescent="0.2">
      <c r="A103" s="4" t="str">
        <f ca="1">IF(K103="","",TODAY()-Table1[[#This Row],[Last Contacted]])</f>
        <v/>
      </c>
      <c r="B103" s="4" t="str">
        <f>_xlfn.XLOOKUP(Table1[[#This Row],[Contact Tempo]],Tempo[Contact Tempo],Tempo[Time Decay],"Never")</f>
        <v>Never</v>
      </c>
      <c r="H103" t="str">
        <f>IF(ISBLANK(Table1[[#This Row],[City]]),"",IF(AND(Table1[[#This Row],[Country]]=Settings!$A$2, Table1[[#This Row],[City]]=Settings!$B$2),"Yes","No"))</f>
        <v/>
      </c>
      <c r="I103" t="str">
        <f>Table1[[#This Row],[Country]]&amp;Table1[[#This Row],[City]]</f>
        <v/>
      </c>
    </row>
    <row r="104" spans="1:9" x14ac:dyDescent="0.2">
      <c r="A104" s="4" t="str">
        <f ca="1">IF(K104="","",TODAY()-Table1[[#This Row],[Last Contacted]])</f>
        <v/>
      </c>
      <c r="B104" s="4" t="str">
        <f>_xlfn.XLOOKUP(Table1[[#This Row],[Contact Tempo]],Tempo[Contact Tempo],Tempo[Time Decay],"Never")</f>
        <v>Never</v>
      </c>
      <c r="H104" t="str">
        <f>IF(ISBLANK(Table1[[#This Row],[City]]),"",IF(AND(Table1[[#This Row],[Country]]=Settings!$A$2, Table1[[#This Row],[City]]=Settings!$B$2),"Yes","No"))</f>
        <v/>
      </c>
      <c r="I104" t="str">
        <f>Table1[[#This Row],[Country]]&amp;Table1[[#This Row],[City]]</f>
        <v/>
      </c>
    </row>
    <row r="105" spans="1:9" x14ac:dyDescent="0.2">
      <c r="A105" s="4" t="str">
        <f ca="1">IF(K105="","",TODAY()-Table1[[#This Row],[Last Contacted]])</f>
        <v/>
      </c>
      <c r="B105" s="4" t="str">
        <f>_xlfn.XLOOKUP(Table1[[#This Row],[Contact Tempo]],Tempo[Contact Tempo],Tempo[Time Decay],"Never")</f>
        <v>Never</v>
      </c>
      <c r="H105" t="str">
        <f>IF(ISBLANK(Table1[[#This Row],[City]]),"",IF(AND(Table1[[#This Row],[Country]]=Settings!$A$2, Table1[[#This Row],[City]]=Settings!$B$2),"Yes","No"))</f>
        <v/>
      </c>
      <c r="I105" t="str">
        <f>Table1[[#This Row],[Country]]&amp;Table1[[#This Row],[City]]</f>
        <v/>
      </c>
    </row>
    <row r="106" spans="1:9" x14ac:dyDescent="0.2">
      <c r="A106" s="4" t="str">
        <f ca="1">IF(K106="","",TODAY()-Table1[[#This Row],[Last Contacted]])</f>
        <v/>
      </c>
      <c r="B106" s="4" t="str">
        <f>_xlfn.XLOOKUP(Table1[[#This Row],[Contact Tempo]],Tempo[Contact Tempo],Tempo[Time Decay],"Never")</f>
        <v>Never</v>
      </c>
      <c r="H106" t="str">
        <f>IF(ISBLANK(Table1[[#This Row],[City]]),"",IF(AND(Table1[[#This Row],[Country]]=Settings!$A$2, Table1[[#This Row],[City]]=Settings!$B$2),"Yes","No"))</f>
        <v/>
      </c>
      <c r="I106" t="str">
        <f>Table1[[#This Row],[Country]]&amp;Table1[[#This Row],[City]]</f>
        <v/>
      </c>
    </row>
    <row r="107" spans="1:9" x14ac:dyDescent="0.2">
      <c r="A107" s="4" t="str">
        <f ca="1">IF(K107="","",TODAY()-Table1[[#This Row],[Last Contacted]])</f>
        <v/>
      </c>
      <c r="B107" s="4" t="str">
        <f>_xlfn.XLOOKUP(Table1[[#This Row],[Contact Tempo]],Tempo[Contact Tempo],Tempo[Time Decay],"Never")</f>
        <v>Never</v>
      </c>
      <c r="H107" t="str">
        <f>IF(ISBLANK(Table1[[#This Row],[City]]),"",IF(AND(Table1[[#This Row],[Country]]=Settings!$A$2, Table1[[#This Row],[City]]=Settings!$B$2),"Yes","No"))</f>
        <v/>
      </c>
      <c r="I107" t="str">
        <f>Table1[[#This Row],[Country]]&amp;Table1[[#This Row],[City]]</f>
        <v/>
      </c>
    </row>
    <row r="108" spans="1:9" x14ac:dyDescent="0.2">
      <c r="A108" s="4" t="str">
        <f ca="1">IF(K108="","",TODAY()-Table1[[#This Row],[Last Contacted]])</f>
        <v/>
      </c>
      <c r="B108" s="4" t="str">
        <f>_xlfn.XLOOKUP(Table1[[#This Row],[Contact Tempo]],Tempo[Contact Tempo],Tempo[Time Decay],"Never")</f>
        <v>Never</v>
      </c>
      <c r="H108" t="str">
        <f>IF(ISBLANK(Table1[[#This Row],[City]]),"",IF(AND(Table1[[#This Row],[Country]]=Settings!$A$2, Table1[[#This Row],[City]]=Settings!$B$2),"Yes","No"))</f>
        <v/>
      </c>
      <c r="I108" t="str">
        <f>Table1[[#This Row],[Country]]&amp;Table1[[#This Row],[City]]</f>
        <v/>
      </c>
    </row>
    <row r="109" spans="1:9" x14ac:dyDescent="0.2">
      <c r="A109" s="4" t="str">
        <f ca="1">IF(K109="","",TODAY()-Table1[[#This Row],[Last Contacted]])</f>
        <v/>
      </c>
      <c r="B109" s="4" t="str">
        <f>_xlfn.XLOOKUP(Table1[[#This Row],[Contact Tempo]],Tempo[Contact Tempo],Tempo[Time Decay],"Never")</f>
        <v>Never</v>
      </c>
      <c r="H109" t="str">
        <f>IF(ISBLANK(Table1[[#This Row],[City]]),"",IF(AND(Table1[[#This Row],[Country]]=Settings!$A$2, Table1[[#This Row],[City]]=Settings!$B$2),"Yes","No"))</f>
        <v/>
      </c>
      <c r="I109" t="str">
        <f>Table1[[#This Row],[Country]]&amp;Table1[[#This Row],[City]]</f>
        <v/>
      </c>
    </row>
    <row r="110" spans="1:9" x14ac:dyDescent="0.2">
      <c r="A110" s="4" t="str">
        <f ca="1">IF(K110="","",TODAY()-Table1[[#This Row],[Last Contacted]])</f>
        <v/>
      </c>
      <c r="B110" s="4" t="str">
        <f>_xlfn.XLOOKUP(Table1[[#This Row],[Contact Tempo]],Tempo[Contact Tempo],Tempo[Time Decay],"Never")</f>
        <v>Never</v>
      </c>
      <c r="H110" t="str">
        <f>IF(ISBLANK(Table1[[#This Row],[City]]),"",IF(AND(Table1[[#This Row],[Country]]=Settings!$A$2, Table1[[#This Row],[City]]=Settings!$B$2),"Yes","No"))</f>
        <v/>
      </c>
      <c r="I110" t="str">
        <f>Table1[[#This Row],[Country]]&amp;Table1[[#This Row],[City]]</f>
        <v/>
      </c>
    </row>
    <row r="111" spans="1:9" x14ac:dyDescent="0.2">
      <c r="A111" s="4" t="str">
        <f ca="1">IF(K111="","",TODAY()-Table1[[#This Row],[Last Contacted]])</f>
        <v/>
      </c>
      <c r="B111" s="4" t="str">
        <f>_xlfn.XLOOKUP(Table1[[#This Row],[Contact Tempo]],Tempo[Contact Tempo],Tempo[Time Decay],"Never")</f>
        <v>Never</v>
      </c>
      <c r="H111" t="str">
        <f>IF(ISBLANK(Table1[[#This Row],[City]]),"",IF(AND(Table1[[#This Row],[Country]]=Settings!$A$2, Table1[[#This Row],[City]]=Settings!$B$2),"Yes","No"))</f>
        <v/>
      </c>
      <c r="I111" t="str">
        <f>Table1[[#This Row],[Country]]&amp;Table1[[#This Row],[City]]</f>
        <v/>
      </c>
    </row>
    <row r="112" spans="1:9" x14ac:dyDescent="0.2">
      <c r="A112" s="4" t="str">
        <f ca="1">IF(K112="","",TODAY()-Table1[[#This Row],[Last Contacted]])</f>
        <v/>
      </c>
      <c r="B112" s="4" t="str">
        <f>_xlfn.XLOOKUP(Table1[[#This Row],[Contact Tempo]],Tempo[Contact Tempo],Tempo[Time Decay],"Never")</f>
        <v>Never</v>
      </c>
      <c r="H112" t="str">
        <f>IF(ISBLANK(Table1[[#This Row],[City]]),"",IF(AND(Table1[[#This Row],[Country]]=Settings!$A$2, Table1[[#This Row],[City]]=Settings!$B$2),"Yes","No"))</f>
        <v/>
      </c>
      <c r="I112" t="str">
        <f>Table1[[#This Row],[Country]]&amp;Table1[[#This Row],[City]]</f>
        <v/>
      </c>
    </row>
    <row r="113" spans="1:9" x14ac:dyDescent="0.2">
      <c r="A113" s="4" t="str">
        <f ca="1">IF(K113="","",TODAY()-Table1[[#This Row],[Last Contacted]])</f>
        <v/>
      </c>
      <c r="B113" s="4" t="str">
        <f>_xlfn.XLOOKUP(Table1[[#This Row],[Contact Tempo]],Tempo[Contact Tempo],Tempo[Time Decay],"Never")</f>
        <v>Never</v>
      </c>
      <c r="H113" t="str">
        <f>IF(ISBLANK(Table1[[#This Row],[City]]),"",IF(AND(Table1[[#This Row],[Country]]=Settings!$A$2, Table1[[#This Row],[City]]=Settings!$B$2),"Yes","No"))</f>
        <v/>
      </c>
      <c r="I113" t="str">
        <f>Table1[[#This Row],[Country]]&amp;Table1[[#This Row],[City]]</f>
        <v/>
      </c>
    </row>
    <row r="114" spans="1:9" x14ac:dyDescent="0.2">
      <c r="A114" s="4" t="str">
        <f ca="1">IF(K114="","",TODAY()-Table1[[#This Row],[Last Contacted]])</f>
        <v/>
      </c>
      <c r="B114" s="4" t="str">
        <f>_xlfn.XLOOKUP(Table1[[#This Row],[Contact Tempo]],Tempo[Contact Tempo],Tempo[Time Decay],"Never")</f>
        <v>Never</v>
      </c>
      <c r="H114" t="str">
        <f>IF(ISBLANK(Table1[[#This Row],[City]]),"",IF(AND(Table1[[#This Row],[Country]]=Settings!$A$2, Table1[[#This Row],[City]]=Settings!$B$2),"Yes","No"))</f>
        <v/>
      </c>
      <c r="I114" t="str">
        <f>Table1[[#This Row],[Country]]&amp;Table1[[#This Row],[City]]</f>
        <v/>
      </c>
    </row>
    <row r="115" spans="1:9" x14ac:dyDescent="0.2">
      <c r="A115" s="4" t="str">
        <f ca="1">IF(K115="","",TODAY()-Table1[[#This Row],[Last Contacted]])</f>
        <v/>
      </c>
      <c r="B115" s="4" t="str">
        <f>_xlfn.XLOOKUP(Table1[[#This Row],[Contact Tempo]],Tempo[Contact Tempo],Tempo[Time Decay],"Never")</f>
        <v>Never</v>
      </c>
      <c r="H115" t="str">
        <f>IF(ISBLANK(Table1[[#This Row],[City]]),"",IF(AND(Table1[[#This Row],[Country]]=Settings!$A$2, Table1[[#This Row],[City]]=Settings!$B$2),"Yes","No"))</f>
        <v/>
      </c>
      <c r="I115" t="str">
        <f>Table1[[#This Row],[Country]]&amp;Table1[[#This Row],[City]]</f>
        <v/>
      </c>
    </row>
    <row r="116" spans="1:9" x14ac:dyDescent="0.2">
      <c r="A116" s="4" t="str">
        <f ca="1">IF(K116="","",TODAY()-Table1[[#This Row],[Last Contacted]])</f>
        <v/>
      </c>
      <c r="B116" s="4" t="str">
        <f>_xlfn.XLOOKUP(Table1[[#This Row],[Contact Tempo]],Tempo[Contact Tempo],Tempo[Time Decay],"Never")</f>
        <v>Never</v>
      </c>
      <c r="H116" t="str">
        <f>IF(ISBLANK(Table1[[#This Row],[City]]),"",IF(AND(Table1[[#This Row],[Country]]=Settings!$A$2, Table1[[#This Row],[City]]=Settings!$B$2),"Yes","No"))</f>
        <v/>
      </c>
      <c r="I116" t="str">
        <f>Table1[[#This Row],[Country]]&amp;Table1[[#This Row],[City]]</f>
        <v/>
      </c>
    </row>
    <row r="117" spans="1:9" x14ac:dyDescent="0.2">
      <c r="A117" s="4" t="str">
        <f ca="1">IF(K117="","",TODAY()-Table1[[#This Row],[Last Contacted]])</f>
        <v/>
      </c>
      <c r="B117" s="4" t="str">
        <f>_xlfn.XLOOKUP(Table1[[#This Row],[Contact Tempo]],Tempo[Contact Tempo],Tempo[Time Decay],"Never")</f>
        <v>Never</v>
      </c>
      <c r="H117" t="str">
        <f>IF(ISBLANK(Table1[[#This Row],[City]]),"",IF(AND(Table1[[#This Row],[Country]]=Settings!$A$2, Table1[[#This Row],[City]]=Settings!$B$2),"Yes","No"))</f>
        <v/>
      </c>
      <c r="I117" t="str">
        <f>Table1[[#This Row],[Country]]&amp;Table1[[#This Row],[City]]</f>
        <v/>
      </c>
    </row>
    <row r="118" spans="1:9" x14ac:dyDescent="0.2">
      <c r="A118" s="4" t="str">
        <f ca="1">IF(K118="","",TODAY()-Table1[[#This Row],[Last Contacted]])</f>
        <v/>
      </c>
      <c r="B118" s="4" t="str">
        <f>_xlfn.XLOOKUP(Table1[[#This Row],[Contact Tempo]],Tempo[Contact Tempo],Tempo[Time Decay],"Never")</f>
        <v>Never</v>
      </c>
      <c r="H118" t="str">
        <f>IF(ISBLANK(Table1[[#This Row],[City]]),"",IF(AND(Table1[[#This Row],[Country]]=Settings!$A$2, Table1[[#This Row],[City]]=Settings!$B$2),"Yes","No"))</f>
        <v/>
      </c>
      <c r="I118" t="str">
        <f>Table1[[#This Row],[Country]]&amp;Table1[[#This Row],[City]]</f>
        <v/>
      </c>
    </row>
    <row r="119" spans="1:9" x14ac:dyDescent="0.2">
      <c r="A119" s="4" t="str">
        <f ca="1">IF(K119="","",TODAY()-Table1[[#This Row],[Last Contacted]])</f>
        <v/>
      </c>
      <c r="B119" s="4" t="str">
        <f>_xlfn.XLOOKUP(Table1[[#This Row],[Contact Tempo]],Tempo[Contact Tempo],Tempo[Time Decay],"Never")</f>
        <v>Never</v>
      </c>
      <c r="H119" t="str">
        <f>IF(ISBLANK(Table1[[#This Row],[City]]),"",IF(AND(Table1[[#This Row],[Country]]=Settings!$A$2, Table1[[#This Row],[City]]=Settings!$B$2),"Yes","No"))</f>
        <v/>
      </c>
      <c r="I119" t="str">
        <f>Table1[[#This Row],[Country]]&amp;Table1[[#This Row],[City]]</f>
        <v/>
      </c>
    </row>
    <row r="120" spans="1:9" x14ac:dyDescent="0.2">
      <c r="A120" s="4" t="str">
        <f ca="1">IF(K120="","",TODAY()-Table1[[#This Row],[Last Contacted]])</f>
        <v/>
      </c>
      <c r="B120" s="4" t="str">
        <f>_xlfn.XLOOKUP(Table1[[#This Row],[Contact Tempo]],Tempo[Contact Tempo],Tempo[Time Decay],"Never")</f>
        <v>Never</v>
      </c>
      <c r="H120" t="str">
        <f>IF(ISBLANK(Table1[[#This Row],[City]]),"",IF(AND(Table1[[#This Row],[Country]]=Settings!$A$2, Table1[[#This Row],[City]]=Settings!$B$2),"Yes","No"))</f>
        <v/>
      </c>
      <c r="I120" t="str">
        <f>Table1[[#This Row],[Country]]&amp;Table1[[#This Row],[City]]</f>
        <v/>
      </c>
    </row>
    <row r="121" spans="1:9" x14ac:dyDescent="0.2">
      <c r="A121" s="4" t="str">
        <f ca="1">IF(K121="","",TODAY()-Table1[[#This Row],[Last Contacted]])</f>
        <v/>
      </c>
      <c r="B121" s="4" t="str">
        <f>_xlfn.XLOOKUP(Table1[[#This Row],[Contact Tempo]],Tempo[Contact Tempo],Tempo[Time Decay],"Never")</f>
        <v>Never</v>
      </c>
      <c r="H121" t="str">
        <f>IF(ISBLANK(Table1[[#This Row],[City]]),"",IF(AND(Table1[[#This Row],[Country]]=Settings!$A$2, Table1[[#This Row],[City]]=Settings!$B$2),"Yes","No"))</f>
        <v/>
      </c>
      <c r="I121" t="str">
        <f>Table1[[#This Row],[Country]]&amp;Table1[[#This Row],[City]]</f>
        <v/>
      </c>
    </row>
    <row r="122" spans="1:9" x14ac:dyDescent="0.2">
      <c r="A122" s="4" t="str">
        <f ca="1">IF(K122="","",TODAY()-Table1[[#This Row],[Last Contacted]])</f>
        <v/>
      </c>
      <c r="B122" s="4" t="str">
        <f>_xlfn.XLOOKUP(Table1[[#This Row],[Contact Tempo]],Tempo[Contact Tempo],Tempo[Time Decay],"Never")</f>
        <v>Never</v>
      </c>
      <c r="H122" t="str">
        <f>IF(ISBLANK(Table1[[#This Row],[City]]),"",IF(AND(Table1[[#This Row],[Country]]=Settings!$A$2, Table1[[#This Row],[City]]=Settings!$B$2),"Yes","No"))</f>
        <v/>
      </c>
      <c r="I122" t="str">
        <f>Table1[[#This Row],[Country]]&amp;Table1[[#This Row],[City]]</f>
        <v/>
      </c>
    </row>
    <row r="123" spans="1:9" x14ac:dyDescent="0.2">
      <c r="A123" s="4" t="str">
        <f ca="1">IF(K123="","",TODAY()-Table1[[#This Row],[Last Contacted]])</f>
        <v/>
      </c>
      <c r="B123" s="4" t="str">
        <f>_xlfn.XLOOKUP(Table1[[#This Row],[Contact Tempo]],Tempo[Contact Tempo],Tempo[Time Decay],"Never")</f>
        <v>Never</v>
      </c>
      <c r="H123" t="str">
        <f>IF(ISBLANK(Table1[[#This Row],[City]]),"",IF(AND(Table1[[#This Row],[Country]]=Settings!$A$2, Table1[[#This Row],[City]]=Settings!$B$2),"Yes","No"))</f>
        <v/>
      </c>
      <c r="I123" t="str">
        <f>Table1[[#This Row],[Country]]&amp;Table1[[#This Row],[City]]</f>
        <v/>
      </c>
    </row>
    <row r="124" spans="1:9" x14ac:dyDescent="0.2">
      <c r="A124" s="4" t="str">
        <f ca="1">IF(K124="","",TODAY()-Table1[[#This Row],[Last Contacted]])</f>
        <v/>
      </c>
      <c r="B124" s="4" t="str">
        <f>_xlfn.XLOOKUP(Table1[[#This Row],[Contact Tempo]],Tempo[Contact Tempo],Tempo[Time Decay],"Never")</f>
        <v>Never</v>
      </c>
      <c r="H124" t="str">
        <f>IF(ISBLANK(Table1[[#This Row],[City]]),"",IF(AND(Table1[[#This Row],[Country]]=Settings!$A$2, Table1[[#This Row],[City]]=Settings!$B$2),"Yes","No"))</f>
        <v/>
      </c>
      <c r="I124" t="str">
        <f>Table1[[#This Row],[Country]]&amp;Table1[[#This Row],[City]]</f>
        <v/>
      </c>
    </row>
    <row r="125" spans="1:9" x14ac:dyDescent="0.2">
      <c r="A125" s="4" t="str">
        <f ca="1">IF(K125="","",TODAY()-Table1[[#This Row],[Last Contacted]])</f>
        <v/>
      </c>
      <c r="B125" s="4" t="str">
        <f>_xlfn.XLOOKUP(Table1[[#This Row],[Contact Tempo]],Tempo[Contact Tempo],Tempo[Time Decay],"Never")</f>
        <v>Never</v>
      </c>
      <c r="H125" t="str">
        <f>IF(ISBLANK(Table1[[#This Row],[City]]),"",IF(AND(Table1[[#This Row],[Country]]=Settings!$A$2, Table1[[#This Row],[City]]=Settings!$B$2),"Yes","No"))</f>
        <v/>
      </c>
      <c r="I125" t="str">
        <f>Table1[[#This Row],[Country]]&amp;Table1[[#This Row],[City]]</f>
        <v/>
      </c>
    </row>
    <row r="126" spans="1:9" x14ac:dyDescent="0.2">
      <c r="A126" s="4" t="str">
        <f ca="1">IF(K126="","",TODAY()-Table1[[#This Row],[Last Contacted]])</f>
        <v/>
      </c>
      <c r="B126" s="4" t="str">
        <f>_xlfn.XLOOKUP(Table1[[#This Row],[Contact Tempo]],Tempo[Contact Tempo],Tempo[Time Decay],"Never")</f>
        <v>Never</v>
      </c>
      <c r="H126" t="str">
        <f>IF(ISBLANK(Table1[[#This Row],[City]]),"",IF(AND(Table1[[#This Row],[Country]]=Settings!$A$2, Table1[[#This Row],[City]]=Settings!$B$2),"Yes","No"))</f>
        <v/>
      </c>
      <c r="I126" t="str">
        <f>Table1[[#This Row],[Country]]&amp;Table1[[#This Row],[City]]</f>
        <v/>
      </c>
    </row>
    <row r="127" spans="1:9" x14ac:dyDescent="0.2">
      <c r="A127" s="4" t="str">
        <f ca="1">IF(K127="","",TODAY()-Table1[[#This Row],[Last Contacted]])</f>
        <v/>
      </c>
      <c r="B127" s="4" t="str">
        <f>_xlfn.XLOOKUP(Table1[[#This Row],[Contact Tempo]],Tempo[Contact Tempo],Tempo[Time Decay],"Never")</f>
        <v>Never</v>
      </c>
      <c r="H127" t="str">
        <f>IF(ISBLANK(Table1[[#This Row],[City]]),"",IF(AND(Table1[[#This Row],[Country]]=Settings!$A$2, Table1[[#This Row],[City]]=Settings!$B$2),"Yes","No"))</f>
        <v/>
      </c>
      <c r="I127" t="str">
        <f>Table1[[#This Row],[Country]]&amp;Table1[[#This Row],[City]]</f>
        <v/>
      </c>
    </row>
    <row r="128" spans="1:9" x14ac:dyDescent="0.2">
      <c r="A128" s="4" t="str">
        <f ca="1">IF(K128="","",TODAY()-Table1[[#This Row],[Last Contacted]])</f>
        <v/>
      </c>
      <c r="B128" s="4" t="str">
        <f>_xlfn.XLOOKUP(Table1[[#This Row],[Contact Tempo]],Tempo[Contact Tempo],Tempo[Time Decay],"Never")</f>
        <v>Never</v>
      </c>
      <c r="H128" t="str">
        <f>IF(ISBLANK(Table1[[#This Row],[City]]),"",IF(AND(Table1[[#This Row],[Country]]=Settings!$A$2, Table1[[#This Row],[City]]=Settings!$B$2),"Yes","No"))</f>
        <v/>
      </c>
      <c r="I128" t="str">
        <f>Table1[[#This Row],[Country]]&amp;Table1[[#This Row],[City]]</f>
        <v/>
      </c>
    </row>
    <row r="129" spans="1:9" x14ac:dyDescent="0.2">
      <c r="A129" s="4" t="str">
        <f ca="1">IF(K129="","",TODAY()-Table1[[#This Row],[Last Contacted]])</f>
        <v/>
      </c>
      <c r="B129" s="4" t="str">
        <f>_xlfn.XLOOKUP(Table1[[#This Row],[Contact Tempo]],Tempo[Contact Tempo],Tempo[Time Decay],"Never")</f>
        <v>Never</v>
      </c>
      <c r="H129" t="str">
        <f>IF(ISBLANK(Table1[[#This Row],[City]]),"",IF(AND(Table1[[#This Row],[Country]]=Settings!$A$2, Table1[[#This Row],[City]]=Settings!$B$2),"Yes","No"))</f>
        <v/>
      </c>
      <c r="I129" t="str">
        <f>Table1[[#This Row],[Country]]&amp;Table1[[#This Row],[City]]</f>
        <v/>
      </c>
    </row>
    <row r="130" spans="1:9" x14ac:dyDescent="0.2">
      <c r="A130" s="4" t="str">
        <f ca="1">IF(K130="","",TODAY()-Table1[[#This Row],[Last Contacted]])</f>
        <v/>
      </c>
      <c r="B130" s="4" t="str">
        <f>_xlfn.XLOOKUP(Table1[[#This Row],[Contact Tempo]],Tempo[Contact Tempo],Tempo[Time Decay],"Never")</f>
        <v>Never</v>
      </c>
      <c r="H130" t="str">
        <f>IF(ISBLANK(Table1[[#This Row],[City]]),"",IF(AND(Table1[[#This Row],[Country]]=Settings!$A$2, Table1[[#This Row],[City]]=Settings!$B$2),"Yes","No"))</f>
        <v/>
      </c>
      <c r="I130" t="str">
        <f>Table1[[#This Row],[Country]]&amp;Table1[[#This Row],[City]]</f>
        <v/>
      </c>
    </row>
    <row r="131" spans="1:9" x14ac:dyDescent="0.2">
      <c r="A131" s="4" t="str">
        <f ca="1">IF(K131="","",TODAY()-Table1[[#This Row],[Last Contacted]])</f>
        <v/>
      </c>
      <c r="B131" s="4" t="str">
        <f>_xlfn.XLOOKUP(Table1[[#This Row],[Contact Tempo]],Tempo[Contact Tempo],Tempo[Time Decay],"Never")</f>
        <v>Never</v>
      </c>
      <c r="H131" t="str">
        <f>IF(ISBLANK(Table1[[#This Row],[City]]),"",IF(AND(Table1[[#This Row],[Country]]=Settings!$A$2, Table1[[#This Row],[City]]=Settings!$B$2),"Yes","No"))</f>
        <v/>
      </c>
      <c r="I131" t="str">
        <f>Table1[[#This Row],[Country]]&amp;Table1[[#This Row],[City]]</f>
        <v/>
      </c>
    </row>
    <row r="132" spans="1:9" x14ac:dyDescent="0.2">
      <c r="A132" s="4" t="str">
        <f ca="1">IF(K132="","",TODAY()-Table1[[#This Row],[Last Contacted]])</f>
        <v/>
      </c>
      <c r="B132" s="4" t="str">
        <f>_xlfn.XLOOKUP(Table1[[#This Row],[Contact Tempo]],Tempo[Contact Tempo],Tempo[Time Decay],"Never")</f>
        <v>Never</v>
      </c>
      <c r="H132" t="str">
        <f>IF(ISBLANK(Table1[[#This Row],[City]]),"",IF(AND(Table1[[#This Row],[Country]]=Settings!$A$2, Table1[[#This Row],[City]]=Settings!$B$2),"Yes","No"))</f>
        <v/>
      </c>
      <c r="I132" t="str">
        <f>Table1[[#This Row],[Country]]&amp;Table1[[#This Row],[City]]</f>
        <v/>
      </c>
    </row>
    <row r="133" spans="1:9" x14ac:dyDescent="0.2">
      <c r="A133" s="4" t="str">
        <f ca="1">IF(K133="","",TODAY()-Table1[[#This Row],[Last Contacted]])</f>
        <v/>
      </c>
      <c r="B133" s="4" t="str">
        <f>_xlfn.XLOOKUP(Table1[[#This Row],[Contact Tempo]],Tempo[Contact Tempo],Tempo[Time Decay],"Never")</f>
        <v>Never</v>
      </c>
      <c r="H133" t="str">
        <f>IF(ISBLANK(Table1[[#This Row],[City]]),"",IF(AND(Table1[[#This Row],[Country]]=Settings!$A$2, Table1[[#This Row],[City]]=Settings!$B$2),"Yes","No"))</f>
        <v/>
      </c>
      <c r="I133" t="str">
        <f>Table1[[#This Row],[Country]]&amp;Table1[[#This Row],[City]]</f>
        <v/>
      </c>
    </row>
    <row r="134" spans="1:9" x14ac:dyDescent="0.2">
      <c r="A134" s="4" t="str">
        <f ca="1">IF(K134="","",TODAY()-Table1[[#This Row],[Last Contacted]])</f>
        <v/>
      </c>
      <c r="B134" s="4" t="str">
        <f>_xlfn.XLOOKUP(Table1[[#This Row],[Contact Tempo]],Tempo[Contact Tempo],Tempo[Time Decay],"Never")</f>
        <v>Never</v>
      </c>
      <c r="H134" t="str">
        <f>IF(ISBLANK(Table1[[#This Row],[City]]),"",IF(AND(Table1[[#This Row],[Country]]=Settings!$A$2, Table1[[#This Row],[City]]=Settings!$B$2),"Yes","No"))</f>
        <v/>
      </c>
      <c r="I134" t="str">
        <f>Table1[[#This Row],[Country]]&amp;Table1[[#This Row],[City]]</f>
        <v/>
      </c>
    </row>
    <row r="135" spans="1:9" x14ac:dyDescent="0.2">
      <c r="A135" s="4" t="str">
        <f ca="1">IF(K135="","",TODAY()-Table1[[#This Row],[Last Contacted]])</f>
        <v/>
      </c>
      <c r="B135" s="4" t="str">
        <f>_xlfn.XLOOKUP(Table1[[#This Row],[Contact Tempo]],Tempo[Contact Tempo],Tempo[Time Decay],"Never")</f>
        <v>Never</v>
      </c>
      <c r="H135" t="str">
        <f>IF(ISBLANK(Table1[[#This Row],[City]]),"",IF(AND(Table1[[#This Row],[Country]]=Settings!$A$2, Table1[[#This Row],[City]]=Settings!$B$2),"Yes","No"))</f>
        <v/>
      </c>
      <c r="I135" t="str">
        <f>Table1[[#This Row],[Country]]&amp;Table1[[#This Row],[City]]</f>
        <v/>
      </c>
    </row>
    <row r="136" spans="1:9" x14ac:dyDescent="0.2">
      <c r="A136" s="4" t="str">
        <f ca="1">IF(K136="","",TODAY()-Table1[[#This Row],[Last Contacted]])</f>
        <v/>
      </c>
      <c r="B136" s="4" t="str">
        <f>_xlfn.XLOOKUP(Table1[[#This Row],[Contact Tempo]],Tempo[Contact Tempo],Tempo[Time Decay],"Never")</f>
        <v>Never</v>
      </c>
      <c r="H136" t="str">
        <f>IF(ISBLANK(Table1[[#This Row],[City]]),"",IF(AND(Table1[[#This Row],[Country]]=Settings!$A$2, Table1[[#This Row],[City]]=Settings!$B$2),"Yes","No"))</f>
        <v/>
      </c>
      <c r="I136" t="str">
        <f>Table1[[#This Row],[Country]]&amp;Table1[[#This Row],[City]]</f>
        <v/>
      </c>
    </row>
    <row r="137" spans="1:9" x14ac:dyDescent="0.2">
      <c r="A137" s="4" t="str">
        <f ca="1">IF(K137="","",TODAY()-Table1[[#This Row],[Last Contacted]])</f>
        <v/>
      </c>
      <c r="B137" s="4" t="str">
        <f>_xlfn.XLOOKUP(Table1[[#This Row],[Contact Tempo]],Tempo[Contact Tempo],Tempo[Time Decay],"Never")</f>
        <v>Never</v>
      </c>
      <c r="H137" t="str">
        <f>IF(ISBLANK(Table1[[#This Row],[City]]),"",IF(AND(Table1[[#This Row],[Country]]=Settings!$A$2, Table1[[#This Row],[City]]=Settings!$B$2),"Yes","No"))</f>
        <v/>
      </c>
      <c r="I137" t="str">
        <f>Table1[[#This Row],[Country]]&amp;Table1[[#This Row],[City]]</f>
        <v/>
      </c>
    </row>
    <row r="138" spans="1:9" x14ac:dyDescent="0.2">
      <c r="A138" s="4" t="str">
        <f ca="1">IF(K138="","",TODAY()-Table1[[#This Row],[Last Contacted]])</f>
        <v/>
      </c>
      <c r="B138" s="4" t="str">
        <f>_xlfn.XLOOKUP(Table1[[#This Row],[Contact Tempo]],Tempo[Contact Tempo],Tempo[Time Decay],"Never")</f>
        <v>Never</v>
      </c>
      <c r="H138" t="str">
        <f>IF(ISBLANK(Table1[[#This Row],[City]]),"",IF(AND(Table1[[#This Row],[Country]]=Settings!$A$2, Table1[[#This Row],[City]]=Settings!$B$2),"Yes","No"))</f>
        <v/>
      </c>
      <c r="I138" t="str">
        <f>Table1[[#This Row],[Country]]&amp;Table1[[#This Row],[City]]</f>
        <v/>
      </c>
    </row>
    <row r="139" spans="1:9" x14ac:dyDescent="0.2">
      <c r="A139" s="4" t="str">
        <f ca="1">IF(K139="","",TODAY()-Table1[[#This Row],[Last Contacted]])</f>
        <v/>
      </c>
      <c r="B139" s="4" t="str">
        <f>_xlfn.XLOOKUP(Table1[[#This Row],[Contact Tempo]],Tempo[Contact Tempo],Tempo[Time Decay],"Never")</f>
        <v>Never</v>
      </c>
      <c r="H139" t="str">
        <f>IF(ISBLANK(Table1[[#This Row],[City]]),"",IF(AND(Table1[[#This Row],[Country]]=Settings!$A$2, Table1[[#This Row],[City]]=Settings!$B$2),"Yes","No"))</f>
        <v/>
      </c>
      <c r="I139" t="str">
        <f>Table1[[#This Row],[Country]]&amp;Table1[[#This Row],[City]]</f>
        <v/>
      </c>
    </row>
    <row r="140" spans="1:9" x14ac:dyDescent="0.2">
      <c r="A140" s="4" t="str">
        <f ca="1">IF(K140="","",TODAY()-Table1[[#This Row],[Last Contacted]])</f>
        <v/>
      </c>
      <c r="B140" s="4" t="str">
        <f>_xlfn.XLOOKUP(Table1[[#This Row],[Contact Tempo]],Tempo[Contact Tempo],Tempo[Time Decay],"Never")</f>
        <v>Never</v>
      </c>
      <c r="H140" t="str">
        <f>IF(ISBLANK(Table1[[#This Row],[City]]),"",IF(AND(Table1[[#This Row],[Country]]=Settings!$A$2, Table1[[#This Row],[City]]=Settings!$B$2),"Yes","No"))</f>
        <v/>
      </c>
      <c r="I140" t="str">
        <f>Table1[[#This Row],[Country]]&amp;Table1[[#This Row],[City]]</f>
        <v/>
      </c>
    </row>
    <row r="141" spans="1:9" x14ac:dyDescent="0.2">
      <c r="A141" s="4" t="str">
        <f ca="1">IF(K141="","",TODAY()-Table1[[#This Row],[Last Contacted]])</f>
        <v/>
      </c>
      <c r="B141" s="4" t="str">
        <f>_xlfn.XLOOKUP(Table1[[#This Row],[Contact Tempo]],Tempo[Contact Tempo],Tempo[Time Decay],"Never")</f>
        <v>Never</v>
      </c>
      <c r="H141" t="str">
        <f>IF(ISBLANK(Table1[[#This Row],[City]]),"",IF(AND(Table1[[#This Row],[Country]]=Settings!$A$2, Table1[[#This Row],[City]]=Settings!$B$2),"Yes","No"))</f>
        <v/>
      </c>
      <c r="I141" t="str">
        <f>Table1[[#This Row],[Country]]&amp;Table1[[#This Row],[City]]</f>
        <v/>
      </c>
    </row>
    <row r="142" spans="1:9" x14ac:dyDescent="0.2">
      <c r="A142" s="4" t="str">
        <f ca="1">IF(K142="","",TODAY()-Table1[[#This Row],[Last Contacted]])</f>
        <v/>
      </c>
      <c r="B142" s="4" t="str">
        <f>_xlfn.XLOOKUP(Table1[[#This Row],[Contact Tempo]],Tempo[Contact Tempo],Tempo[Time Decay],"Never")</f>
        <v>Never</v>
      </c>
      <c r="H142" t="str">
        <f>IF(ISBLANK(Table1[[#This Row],[City]]),"",IF(AND(Table1[[#This Row],[Country]]=Settings!$A$2, Table1[[#This Row],[City]]=Settings!$B$2),"Yes","No"))</f>
        <v/>
      </c>
      <c r="I142" t="str">
        <f>Table1[[#This Row],[Country]]&amp;Table1[[#This Row],[City]]</f>
        <v/>
      </c>
    </row>
    <row r="143" spans="1:9" x14ac:dyDescent="0.2">
      <c r="A143" s="4" t="str">
        <f ca="1">IF(K143="","",TODAY()-Table1[[#This Row],[Last Contacted]])</f>
        <v/>
      </c>
      <c r="B143" s="4" t="str">
        <f>_xlfn.XLOOKUP(Table1[[#This Row],[Contact Tempo]],Tempo[Contact Tempo],Tempo[Time Decay],"Never")</f>
        <v>Never</v>
      </c>
      <c r="H143" t="str">
        <f>IF(ISBLANK(Table1[[#This Row],[City]]),"",IF(AND(Table1[[#This Row],[Country]]=Settings!$A$2, Table1[[#This Row],[City]]=Settings!$B$2),"Yes","No"))</f>
        <v/>
      </c>
      <c r="I143" t="str">
        <f>Table1[[#This Row],[Country]]&amp;Table1[[#This Row],[City]]</f>
        <v/>
      </c>
    </row>
    <row r="144" spans="1:9" x14ac:dyDescent="0.2">
      <c r="A144" s="4" t="str">
        <f ca="1">IF(K144="","",TODAY()-Table1[[#This Row],[Last Contacted]])</f>
        <v/>
      </c>
      <c r="B144" s="4" t="str">
        <f>_xlfn.XLOOKUP(Table1[[#This Row],[Contact Tempo]],Tempo[Contact Tempo],Tempo[Time Decay],"Never")</f>
        <v>Never</v>
      </c>
      <c r="H144" t="str">
        <f>IF(ISBLANK(Table1[[#This Row],[City]]),"",IF(AND(Table1[[#This Row],[Country]]=Settings!$A$2, Table1[[#This Row],[City]]=Settings!$B$2),"Yes","No"))</f>
        <v/>
      </c>
      <c r="I144" t="str">
        <f>Table1[[#This Row],[Country]]&amp;Table1[[#This Row],[City]]</f>
        <v/>
      </c>
    </row>
    <row r="145" spans="1:9" x14ac:dyDescent="0.2">
      <c r="A145" s="4" t="str">
        <f ca="1">IF(K145="","",TODAY()-Table1[[#This Row],[Last Contacted]])</f>
        <v/>
      </c>
      <c r="B145" s="4" t="str">
        <f>_xlfn.XLOOKUP(Table1[[#This Row],[Contact Tempo]],Tempo[Contact Tempo],Tempo[Time Decay],"Never")</f>
        <v>Never</v>
      </c>
      <c r="H145" t="str">
        <f>IF(ISBLANK(Table1[[#This Row],[City]]),"",IF(AND(Table1[[#This Row],[Country]]=Settings!$A$2, Table1[[#This Row],[City]]=Settings!$B$2),"Yes","No"))</f>
        <v/>
      </c>
      <c r="I145" t="str">
        <f>Table1[[#This Row],[Country]]&amp;Table1[[#This Row],[City]]</f>
        <v/>
      </c>
    </row>
    <row r="146" spans="1:9" x14ac:dyDescent="0.2">
      <c r="A146" s="4" t="str">
        <f ca="1">IF(K146="","",TODAY()-Table1[[#This Row],[Last Contacted]])</f>
        <v/>
      </c>
      <c r="B146" s="4" t="str">
        <f>_xlfn.XLOOKUP(Table1[[#This Row],[Contact Tempo]],Tempo[Contact Tempo],Tempo[Time Decay],"Never")</f>
        <v>Never</v>
      </c>
      <c r="H146" t="str">
        <f>IF(ISBLANK(Table1[[#This Row],[City]]),"",IF(AND(Table1[[#This Row],[Country]]=Settings!$A$2, Table1[[#This Row],[City]]=Settings!$B$2),"Yes","No"))</f>
        <v/>
      </c>
      <c r="I146" t="str">
        <f>Table1[[#This Row],[Country]]&amp;Table1[[#This Row],[City]]</f>
        <v/>
      </c>
    </row>
    <row r="147" spans="1:9" x14ac:dyDescent="0.2">
      <c r="A147" s="4" t="str">
        <f ca="1">IF(K147="","",TODAY()-Table1[[#This Row],[Last Contacted]])</f>
        <v/>
      </c>
      <c r="B147" s="4" t="str">
        <f>_xlfn.XLOOKUP(Table1[[#This Row],[Contact Tempo]],Tempo[Contact Tempo],Tempo[Time Decay],"Never")</f>
        <v>Never</v>
      </c>
      <c r="H147" t="str">
        <f>IF(ISBLANK(Table1[[#This Row],[City]]),"",IF(AND(Table1[[#This Row],[Country]]=Settings!$A$2, Table1[[#This Row],[City]]=Settings!$B$2),"Yes","No"))</f>
        <v/>
      </c>
      <c r="I147" t="str">
        <f>Table1[[#This Row],[Country]]&amp;Table1[[#This Row],[City]]</f>
        <v/>
      </c>
    </row>
    <row r="148" spans="1:9" x14ac:dyDescent="0.2">
      <c r="A148" s="4" t="str">
        <f ca="1">IF(K148="","",TODAY()-Table1[[#This Row],[Last Contacted]])</f>
        <v/>
      </c>
      <c r="B148" s="4" t="str">
        <f>_xlfn.XLOOKUP(Table1[[#This Row],[Contact Tempo]],Tempo[Contact Tempo],Tempo[Time Decay],"Never")</f>
        <v>Never</v>
      </c>
      <c r="H148" t="str">
        <f>IF(ISBLANK(Table1[[#This Row],[City]]),"",IF(AND(Table1[[#This Row],[Country]]=Settings!$A$2, Table1[[#This Row],[City]]=Settings!$B$2),"Yes","No"))</f>
        <v/>
      </c>
      <c r="I148" t="str">
        <f>Table1[[#This Row],[Country]]&amp;Table1[[#This Row],[City]]</f>
        <v/>
      </c>
    </row>
    <row r="149" spans="1:9" x14ac:dyDescent="0.2">
      <c r="A149" s="4" t="str">
        <f ca="1">IF(K149="","",TODAY()-Table1[[#This Row],[Last Contacted]])</f>
        <v/>
      </c>
      <c r="B149" s="4" t="str">
        <f>_xlfn.XLOOKUP(Table1[[#This Row],[Contact Tempo]],Tempo[Contact Tempo],Tempo[Time Decay],"Never")</f>
        <v>Never</v>
      </c>
      <c r="H149" t="str">
        <f>IF(ISBLANK(Table1[[#This Row],[City]]),"",IF(AND(Table1[[#This Row],[Country]]=Settings!$A$2, Table1[[#This Row],[City]]=Settings!$B$2),"Yes","No"))</f>
        <v/>
      </c>
      <c r="I149" t="str">
        <f>Table1[[#This Row],[Country]]&amp;Table1[[#This Row],[City]]</f>
        <v/>
      </c>
    </row>
    <row r="150" spans="1:9" x14ac:dyDescent="0.2">
      <c r="A150" s="4" t="str">
        <f ca="1">IF(K150="","",TODAY()-Table1[[#This Row],[Last Contacted]])</f>
        <v/>
      </c>
      <c r="B150" s="4" t="str">
        <f>_xlfn.XLOOKUP(Table1[[#This Row],[Contact Tempo]],Tempo[Contact Tempo],Tempo[Time Decay],"Never")</f>
        <v>Never</v>
      </c>
      <c r="H150" t="str">
        <f>IF(ISBLANK(Table1[[#This Row],[City]]),"",IF(AND(Table1[[#This Row],[Country]]=Settings!$A$2, Table1[[#This Row],[City]]=Settings!$B$2),"Yes","No"))</f>
        <v/>
      </c>
      <c r="I150" t="str">
        <f>Table1[[#This Row],[Country]]&amp;Table1[[#This Row],[City]]</f>
        <v/>
      </c>
    </row>
    <row r="151" spans="1:9" x14ac:dyDescent="0.2">
      <c r="A151" s="4" t="str">
        <f ca="1">IF(K151="","",TODAY()-Table1[[#This Row],[Last Contacted]])</f>
        <v/>
      </c>
      <c r="B151" s="4" t="str">
        <f>_xlfn.XLOOKUP(Table1[[#This Row],[Contact Tempo]],Tempo[Contact Tempo],Tempo[Time Decay],"Never")</f>
        <v>Never</v>
      </c>
      <c r="H151" t="str">
        <f>IF(ISBLANK(Table1[[#This Row],[City]]),"",IF(AND(Table1[[#This Row],[Country]]=Settings!$A$2, Table1[[#This Row],[City]]=Settings!$B$2),"Yes","No"))</f>
        <v/>
      </c>
      <c r="I151" t="str">
        <f>Table1[[#This Row],[Country]]&amp;Table1[[#This Row],[City]]</f>
        <v/>
      </c>
    </row>
    <row r="152" spans="1:9" x14ac:dyDescent="0.2">
      <c r="A152" s="4" t="str">
        <f ca="1">IF(K152="","",TODAY()-Table1[[#This Row],[Last Contacted]])</f>
        <v/>
      </c>
      <c r="B152" s="4" t="str">
        <f>_xlfn.XLOOKUP(Table1[[#This Row],[Contact Tempo]],Tempo[Contact Tempo],Tempo[Time Decay],"Never")</f>
        <v>Never</v>
      </c>
      <c r="H152" t="str">
        <f>IF(ISBLANK(Table1[[#This Row],[City]]),"",IF(AND(Table1[[#This Row],[Country]]=Settings!$A$2, Table1[[#This Row],[City]]=Settings!$B$2),"Yes","No"))</f>
        <v/>
      </c>
      <c r="I152" t="str">
        <f>Table1[[#This Row],[Country]]&amp;Table1[[#This Row],[City]]</f>
        <v/>
      </c>
    </row>
    <row r="153" spans="1:9" x14ac:dyDescent="0.2">
      <c r="A153" s="4" t="str">
        <f ca="1">IF(K153="","",TODAY()-Table1[[#This Row],[Last Contacted]])</f>
        <v/>
      </c>
      <c r="B153" s="4" t="str">
        <f>_xlfn.XLOOKUP(Table1[[#This Row],[Contact Tempo]],Tempo[Contact Tempo],Tempo[Time Decay],"Never")</f>
        <v>Never</v>
      </c>
      <c r="H153" t="str">
        <f>IF(ISBLANK(Table1[[#This Row],[City]]),"",IF(AND(Table1[[#This Row],[Country]]=Settings!$A$2, Table1[[#This Row],[City]]=Settings!$B$2),"Yes","No"))</f>
        <v/>
      </c>
      <c r="I153" t="str">
        <f>Table1[[#This Row],[Country]]&amp;Table1[[#This Row],[City]]</f>
        <v/>
      </c>
    </row>
    <row r="154" spans="1:9" x14ac:dyDescent="0.2">
      <c r="A154" s="4" t="str">
        <f ca="1">IF(K154="","",TODAY()-Table1[[#This Row],[Last Contacted]])</f>
        <v/>
      </c>
      <c r="B154" s="4" t="str">
        <f>_xlfn.XLOOKUP(Table1[[#This Row],[Contact Tempo]],Tempo[Contact Tempo],Tempo[Time Decay],"Never")</f>
        <v>Never</v>
      </c>
      <c r="H154" t="str">
        <f>IF(ISBLANK(Table1[[#This Row],[City]]),"",IF(AND(Table1[[#This Row],[Country]]=Settings!$A$2, Table1[[#This Row],[City]]=Settings!$B$2),"Yes","No"))</f>
        <v/>
      </c>
      <c r="I154" t="str">
        <f>Table1[[#This Row],[Country]]&amp;Table1[[#This Row],[City]]</f>
        <v/>
      </c>
    </row>
    <row r="155" spans="1:9" x14ac:dyDescent="0.2">
      <c r="A155" s="4" t="str">
        <f ca="1">IF(K155="","",TODAY()-Table1[[#This Row],[Last Contacted]])</f>
        <v/>
      </c>
      <c r="B155" s="4" t="str">
        <f>_xlfn.XLOOKUP(Table1[[#This Row],[Contact Tempo]],Tempo[Contact Tempo],Tempo[Time Decay],"Never")</f>
        <v>Never</v>
      </c>
      <c r="H155" t="str">
        <f>IF(ISBLANK(Table1[[#This Row],[City]]),"",IF(AND(Table1[[#This Row],[Country]]=Settings!$A$2, Table1[[#This Row],[City]]=Settings!$B$2),"Yes","No"))</f>
        <v/>
      </c>
      <c r="I155" t="str">
        <f>Table1[[#This Row],[Country]]&amp;Table1[[#This Row],[City]]</f>
        <v/>
      </c>
    </row>
    <row r="156" spans="1:9" x14ac:dyDescent="0.2">
      <c r="A156" s="4" t="str">
        <f ca="1">IF(K156="","",TODAY()-Table1[[#This Row],[Last Contacted]])</f>
        <v/>
      </c>
      <c r="B156" s="4" t="str">
        <f>_xlfn.XLOOKUP(Table1[[#This Row],[Contact Tempo]],Tempo[Contact Tempo],Tempo[Time Decay],"Never")</f>
        <v>Never</v>
      </c>
      <c r="H156" t="str">
        <f>IF(ISBLANK(Table1[[#This Row],[City]]),"",IF(AND(Table1[[#This Row],[Country]]=Settings!$A$2, Table1[[#This Row],[City]]=Settings!$B$2),"Yes","No"))</f>
        <v/>
      </c>
      <c r="I156" t="str">
        <f>Table1[[#This Row],[Country]]&amp;Table1[[#This Row],[City]]</f>
        <v/>
      </c>
    </row>
    <row r="157" spans="1:9" x14ac:dyDescent="0.2">
      <c r="A157" s="4" t="str">
        <f ca="1">IF(K157="","",TODAY()-Table1[[#This Row],[Last Contacted]])</f>
        <v/>
      </c>
      <c r="B157" s="4" t="str">
        <f>_xlfn.XLOOKUP(Table1[[#This Row],[Contact Tempo]],Tempo[Contact Tempo],Tempo[Time Decay],"Never")</f>
        <v>Never</v>
      </c>
      <c r="H157" t="str">
        <f>IF(ISBLANK(Table1[[#This Row],[City]]),"",IF(AND(Table1[[#This Row],[Country]]=Settings!$A$2, Table1[[#This Row],[City]]=Settings!$B$2),"Yes","No"))</f>
        <v/>
      </c>
      <c r="I157" t="str">
        <f>Table1[[#This Row],[Country]]&amp;Table1[[#This Row],[City]]</f>
        <v/>
      </c>
    </row>
    <row r="158" spans="1:9" x14ac:dyDescent="0.2">
      <c r="A158" s="4" t="str">
        <f ca="1">IF(K158="","",TODAY()-Table1[[#This Row],[Last Contacted]])</f>
        <v/>
      </c>
      <c r="B158" s="4" t="str">
        <f>_xlfn.XLOOKUP(Table1[[#This Row],[Contact Tempo]],Tempo[Contact Tempo],Tempo[Time Decay],"Never")</f>
        <v>Never</v>
      </c>
      <c r="H158" t="str">
        <f>IF(ISBLANK(Table1[[#This Row],[City]]),"",IF(AND(Table1[[#This Row],[Country]]=Settings!$A$2, Table1[[#This Row],[City]]=Settings!$B$2),"Yes","No"))</f>
        <v/>
      </c>
      <c r="I158" t="str">
        <f>Table1[[#This Row],[Country]]&amp;Table1[[#This Row],[City]]</f>
        <v/>
      </c>
    </row>
    <row r="159" spans="1:9" x14ac:dyDescent="0.2">
      <c r="A159" s="4" t="str">
        <f ca="1">IF(K159="","",TODAY()-Table1[[#This Row],[Last Contacted]])</f>
        <v/>
      </c>
      <c r="B159" s="4" t="str">
        <f>_xlfn.XLOOKUP(Table1[[#This Row],[Contact Tempo]],Tempo[Contact Tempo],Tempo[Time Decay],"Never")</f>
        <v>Never</v>
      </c>
      <c r="H159" t="str">
        <f>IF(ISBLANK(Table1[[#This Row],[City]]),"",IF(AND(Table1[[#This Row],[Country]]=Settings!$A$2, Table1[[#This Row],[City]]=Settings!$B$2),"Yes","No"))</f>
        <v/>
      </c>
      <c r="I159" t="str">
        <f>Table1[[#This Row],[Country]]&amp;Table1[[#This Row],[City]]</f>
        <v/>
      </c>
    </row>
    <row r="160" spans="1:9" x14ac:dyDescent="0.2">
      <c r="A160" s="4" t="str">
        <f ca="1">IF(K160="","",TODAY()-Table1[[#This Row],[Last Contacted]])</f>
        <v/>
      </c>
      <c r="B160" s="4" t="str">
        <f>_xlfn.XLOOKUP(Table1[[#This Row],[Contact Tempo]],Tempo[Contact Tempo],Tempo[Time Decay],"Never")</f>
        <v>Never</v>
      </c>
      <c r="H160" t="str">
        <f>IF(ISBLANK(Table1[[#This Row],[City]]),"",IF(AND(Table1[[#This Row],[Country]]=Settings!$A$2, Table1[[#This Row],[City]]=Settings!$B$2),"Yes","No"))</f>
        <v/>
      </c>
      <c r="I160" t="str">
        <f>Table1[[#This Row],[Country]]&amp;Table1[[#This Row],[City]]</f>
        <v/>
      </c>
    </row>
    <row r="161" spans="1:9" x14ac:dyDescent="0.2">
      <c r="A161" s="4" t="str">
        <f ca="1">IF(K161="","",TODAY()-Table1[[#This Row],[Last Contacted]])</f>
        <v/>
      </c>
      <c r="B161" s="4" t="str">
        <f>_xlfn.XLOOKUP(Table1[[#This Row],[Contact Tempo]],Tempo[Contact Tempo],Tempo[Time Decay],"Never")</f>
        <v>Never</v>
      </c>
      <c r="H161" t="str">
        <f>IF(ISBLANK(Table1[[#This Row],[City]]),"",IF(AND(Table1[[#This Row],[Country]]=Settings!$A$2, Table1[[#This Row],[City]]=Settings!$B$2),"Yes","No"))</f>
        <v/>
      </c>
      <c r="I161" t="str">
        <f>Table1[[#This Row],[Country]]&amp;Table1[[#This Row],[City]]</f>
        <v/>
      </c>
    </row>
    <row r="162" spans="1:9" x14ac:dyDescent="0.2">
      <c r="A162" s="4" t="str">
        <f ca="1">IF(K162="","",TODAY()-Table1[[#This Row],[Last Contacted]])</f>
        <v/>
      </c>
      <c r="B162" s="4" t="str">
        <f>_xlfn.XLOOKUP(Table1[[#This Row],[Contact Tempo]],Tempo[Contact Tempo],Tempo[Time Decay],"Never")</f>
        <v>Never</v>
      </c>
      <c r="H162" t="str">
        <f>IF(ISBLANK(Table1[[#This Row],[City]]),"",IF(AND(Table1[[#This Row],[Country]]=Settings!$A$2, Table1[[#This Row],[City]]=Settings!$B$2),"Yes","No"))</f>
        <v/>
      </c>
      <c r="I162" t="str">
        <f>Table1[[#This Row],[Country]]&amp;Table1[[#This Row],[City]]</f>
        <v/>
      </c>
    </row>
    <row r="163" spans="1:9" x14ac:dyDescent="0.2">
      <c r="A163" s="4" t="str">
        <f ca="1">IF(K163="","",TODAY()-Table1[[#This Row],[Last Contacted]])</f>
        <v/>
      </c>
      <c r="B163" s="4" t="str">
        <f>_xlfn.XLOOKUP(Table1[[#This Row],[Contact Tempo]],Tempo[Contact Tempo],Tempo[Time Decay],"Never")</f>
        <v>Never</v>
      </c>
      <c r="H163" t="str">
        <f>IF(ISBLANK(Table1[[#This Row],[City]]),"",IF(AND(Table1[[#This Row],[Country]]=Settings!$A$2, Table1[[#This Row],[City]]=Settings!$B$2),"Yes","No"))</f>
        <v/>
      </c>
      <c r="I163" t="str">
        <f>Table1[[#This Row],[Country]]&amp;Table1[[#This Row],[City]]</f>
        <v/>
      </c>
    </row>
    <row r="164" spans="1:9" x14ac:dyDescent="0.2">
      <c r="A164" s="4" t="str">
        <f ca="1">IF(K164="","",TODAY()-Table1[[#This Row],[Last Contacted]])</f>
        <v/>
      </c>
      <c r="B164" s="4" t="str">
        <f>_xlfn.XLOOKUP(Table1[[#This Row],[Contact Tempo]],Tempo[Contact Tempo],Tempo[Time Decay],"Never")</f>
        <v>Never</v>
      </c>
      <c r="H164" t="str">
        <f>IF(ISBLANK(Table1[[#This Row],[City]]),"",IF(AND(Table1[[#This Row],[Country]]=Settings!$A$2, Table1[[#This Row],[City]]=Settings!$B$2),"Yes","No"))</f>
        <v/>
      </c>
      <c r="I164" t="str">
        <f>Table1[[#This Row],[Country]]&amp;Table1[[#This Row],[City]]</f>
        <v/>
      </c>
    </row>
    <row r="165" spans="1:9" x14ac:dyDescent="0.2">
      <c r="A165" s="4" t="str">
        <f ca="1">IF(K165="","",TODAY()-Table1[[#This Row],[Last Contacted]])</f>
        <v/>
      </c>
      <c r="B165" s="4" t="str">
        <f>_xlfn.XLOOKUP(Table1[[#This Row],[Contact Tempo]],Tempo[Contact Tempo],Tempo[Time Decay],"Never")</f>
        <v>Never</v>
      </c>
      <c r="H165" t="str">
        <f>IF(ISBLANK(Table1[[#This Row],[City]]),"",IF(AND(Table1[[#This Row],[Country]]=Settings!$A$2, Table1[[#This Row],[City]]=Settings!$B$2),"Yes","No"))</f>
        <v/>
      </c>
      <c r="I165" t="str">
        <f>Table1[[#This Row],[Country]]&amp;Table1[[#This Row],[City]]</f>
        <v/>
      </c>
    </row>
    <row r="166" spans="1:9" x14ac:dyDescent="0.2">
      <c r="A166" s="4" t="str">
        <f ca="1">IF(K166="","",TODAY()-Table1[[#This Row],[Last Contacted]])</f>
        <v/>
      </c>
      <c r="B166" s="4" t="str">
        <f>_xlfn.XLOOKUP(Table1[[#This Row],[Contact Tempo]],Tempo[Contact Tempo],Tempo[Time Decay],"Never")</f>
        <v>Never</v>
      </c>
      <c r="H166" t="str">
        <f>IF(ISBLANK(Table1[[#This Row],[City]]),"",IF(AND(Table1[[#This Row],[Country]]=Settings!$A$2, Table1[[#This Row],[City]]=Settings!$B$2),"Yes","No"))</f>
        <v/>
      </c>
      <c r="I166" t="str">
        <f>Table1[[#This Row],[Country]]&amp;Table1[[#This Row],[City]]</f>
        <v/>
      </c>
    </row>
    <row r="167" spans="1:9" x14ac:dyDescent="0.2">
      <c r="A167" s="4" t="str">
        <f ca="1">IF(K167="","",TODAY()-Table1[[#This Row],[Last Contacted]])</f>
        <v/>
      </c>
      <c r="B167" s="4" t="str">
        <f>_xlfn.XLOOKUP(Table1[[#This Row],[Contact Tempo]],Tempo[Contact Tempo],Tempo[Time Decay],"Never")</f>
        <v>Never</v>
      </c>
      <c r="H167" t="str">
        <f>IF(ISBLANK(Table1[[#This Row],[City]]),"",IF(AND(Table1[[#This Row],[Country]]=Settings!$A$2, Table1[[#This Row],[City]]=Settings!$B$2),"Yes","No"))</f>
        <v/>
      </c>
      <c r="I167" t="str">
        <f>Table1[[#This Row],[Country]]&amp;Table1[[#This Row],[City]]</f>
        <v/>
      </c>
    </row>
    <row r="168" spans="1:9" x14ac:dyDescent="0.2">
      <c r="A168" s="4" t="str">
        <f ca="1">IF(K168="","",TODAY()-Table1[[#This Row],[Last Contacted]])</f>
        <v/>
      </c>
      <c r="B168" s="4" t="str">
        <f>_xlfn.XLOOKUP(Table1[[#This Row],[Contact Tempo]],Tempo[Contact Tempo],Tempo[Time Decay],"Never")</f>
        <v>Never</v>
      </c>
      <c r="H168" t="str">
        <f>IF(ISBLANK(Table1[[#This Row],[City]]),"",IF(AND(Table1[[#This Row],[Country]]=Settings!$A$2, Table1[[#This Row],[City]]=Settings!$B$2),"Yes","No"))</f>
        <v/>
      </c>
      <c r="I168" t="str">
        <f>Table1[[#This Row],[Country]]&amp;Table1[[#This Row],[City]]</f>
        <v/>
      </c>
    </row>
    <row r="169" spans="1:9" x14ac:dyDescent="0.2">
      <c r="A169" s="4" t="str">
        <f ca="1">IF(K169="","",TODAY()-Table1[[#This Row],[Last Contacted]])</f>
        <v/>
      </c>
      <c r="B169" s="4" t="str">
        <f>_xlfn.XLOOKUP(Table1[[#This Row],[Contact Tempo]],Tempo[Contact Tempo],Tempo[Time Decay],"Never")</f>
        <v>Never</v>
      </c>
      <c r="H169" t="str">
        <f>IF(ISBLANK(Table1[[#This Row],[City]]),"",IF(AND(Table1[[#This Row],[Country]]=Settings!$A$2, Table1[[#This Row],[City]]=Settings!$B$2),"Yes","No"))</f>
        <v/>
      </c>
      <c r="I169" t="str">
        <f>Table1[[#This Row],[Country]]&amp;Table1[[#This Row],[City]]</f>
        <v/>
      </c>
    </row>
    <row r="170" spans="1:9" x14ac:dyDescent="0.2">
      <c r="A170" s="4" t="str">
        <f ca="1">IF(K170="","",TODAY()-Table1[[#This Row],[Last Contacted]])</f>
        <v/>
      </c>
      <c r="B170" s="4" t="str">
        <f>_xlfn.XLOOKUP(Table1[[#This Row],[Contact Tempo]],Tempo[Contact Tempo],Tempo[Time Decay],"Never")</f>
        <v>Never</v>
      </c>
      <c r="H170" t="str">
        <f>IF(ISBLANK(Table1[[#This Row],[City]]),"",IF(AND(Table1[[#This Row],[Country]]=Settings!$A$2, Table1[[#This Row],[City]]=Settings!$B$2),"Yes","No"))</f>
        <v/>
      </c>
      <c r="I170" t="str">
        <f>Table1[[#This Row],[Country]]&amp;Table1[[#This Row],[City]]</f>
        <v/>
      </c>
    </row>
    <row r="171" spans="1:9" x14ac:dyDescent="0.2">
      <c r="A171" s="4" t="str">
        <f ca="1">IF(K171="","",TODAY()-Table1[[#This Row],[Last Contacted]])</f>
        <v/>
      </c>
      <c r="B171" s="4" t="str">
        <f>_xlfn.XLOOKUP(Table1[[#This Row],[Contact Tempo]],Tempo[Contact Tempo],Tempo[Time Decay],"Never")</f>
        <v>Never</v>
      </c>
      <c r="H171" t="str">
        <f>IF(ISBLANK(Table1[[#This Row],[City]]),"",IF(AND(Table1[[#This Row],[Country]]=Settings!$A$2, Table1[[#This Row],[City]]=Settings!$B$2),"Yes","No"))</f>
        <v/>
      </c>
      <c r="I171" t="str">
        <f>Table1[[#This Row],[Country]]&amp;Table1[[#This Row],[City]]</f>
        <v/>
      </c>
    </row>
    <row r="172" spans="1:9" x14ac:dyDescent="0.2">
      <c r="A172" s="4" t="str">
        <f ca="1">IF(K172="","",TODAY()-Table1[[#This Row],[Last Contacted]])</f>
        <v/>
      </c>
      <c r="B172" s="4" t="str">
        <f>_xlfn.XLOOKUP(Table1[[#This Row],[Contact Tempo]],Tempo[Contact Tempo],Tempo[Time Decay],"Never")</f>
        <v>Never</v>
      </c>
      <c r="H172" t="str">
        <f>IF(ISBLANK(Table1[[#This Row],[City]]),"",IF(AND(Table1[[#This Row],[Country]]=Settings!$A$2, Table1[[#This Row],[City]]=Settings!$B$2),"Yes","No"))</f>
        <v/>
      </c>
      <c r="I172" t="str">
        <f>Table1[[#This Row],[Country]]&amp;Table1[[#This Row],[City]]</f>
        <v/>
      </c>
    </row>
    <row r="173" spans="1:9" x14ac:dyDescent="0.2">
      <c r="A173" s="4" t="str">
        <f ca="1">IF(K173="","",TODAY()-Table1[[#This Row],[Last Contacted]])</f>
        <v/>
      </c>
      <c r="B173" s="4" t="str">
        <f>_xlfn.XLOOKUP(Table1[[#This Row],[Contact Tempo]],Tempo[Contact Tempo],Tempo[Time Decay],"Never")</f>
        <v>Never</v>
      </c>
      <c r="H173" t="str">
        <f>IF(ISBLANK(Table1[[#This Row],[City]]),"",IF(AND(Table1[[#This Row],[Country]]=Settings!$A$2, Table1[[#This Row],[City]]=Settings!$B$2),"Yes","No"))</f>
        <v/>
      </c>
      <c r="I173" t="str">
        <f>Table1[[#This Row],[Country]]&amp;Table1[[#This Row],[City]]</f>
        <v/>
      </c>
    </row>
    <row r="174" spans="1:9" x14ac:dyDescent="0.2">
      <c r="A174" s="4" t="str">
        <f ca="1">IF(K174="","",TODAY()-Table1[[#This Row],[Last Contacted]])</f>
        <v/>
      </c>
      <c r="B174" s="4" t="str">
        <f>_xlfn.XLOOKUP(Table1[[#This Row],[Contact Tempo]],Tempo[Contact Tempo],Tempo[Time Decay],"Never")</f>
        <v>Never</v>
      </c>
      <c r="H174" t="str">
        <f>IF(ISBLANK(Table1[[#This Row],[City]]),"",IF(AND(Table1[[#This Row],[Country]]=Settings!$A$2, Table1[[#This Row],[City]]=Settings!$B$2),"Yes","No"))</f>
        <v/>
      </c>
      <c r="I174" t="str">
        <f>Table1[[#This Row],[Country]]&amp;Table1[[#This Row],[City]]</f>
        <v/>
      </c>
    </row>
    <row r="175" spans="1:9" x14ac:dyDescent="0.2">
      <c r="A175" s="4" t="str">
        <f ca="1">IF(K175="","",TODAY()-Table1[[#This Row],[Last Contacted]])</f>
        <v/>
      </c>
      <c r="B175" s="4" t="str">
        <f>_xlfn.XLOOKUP(Table1[[#This Row],[Contact Tempo]],Tempo[Contact Tempo],Tempo[Time Decay],"Never")</f>
        <v>Never</v>
      </c>
      <c r="H175" t="str">
        <f>IF(ISBLANK(Table1[[#This Row],[City]]),"",IF(AND(Table1[[#This Row],[Country]]=Settings!$A$2, Table1[[#This Row],[City]]=Settings!$B$2),"Yes","No"))</f>
        <v/>
      </c>
      <c r="I175" t="str">
        <f>Table1[[#This Row],[Country]]&amp;Table1[[#This Row],[City]]</f>
        <v/>
      </c>
    </row>
    <row r="176" spans="1:9" x14ac:dyDescent="0.2">
      <c r="A176" s="4" t="str">
        <f ca="1">IF(K176="","",TODAY()-Table1[[#This Row],[Last Contacted]])</f>
        <v/>
      </c>
      <c r="B176" s="4" t="str">
        <f>_xlfn.XLOOKUP(Table1[[#This Row],[Contact Tempo]],Tempo[Contact Tempo],Tempo[Time Decay],"Never")</f>
        <v>Never</v>
      </c>
      <c r="H176" t="str">
        <f>IF(ISBLANK(Table1[[#This Row],[City]]),"",IF(AND(Table1[[#This Row],[Country]]=Settings!$A$2, Table1[[#This Row],[City]]=Settings!$B$2),"Yes","No"))</f>
        <v/>
      </c>
      <c r="I176" t="str">
        <f>Table1[[#This Row],[Country]]&amp;Table1[[#This Row],[City]]</f>
        <v/>
      </c>
    </row>
    <row r="177" spans="1:9" x14ac:dyDescent="0.2">
      <c r="A177" s="4" t="str">
        <f ca="1">IF(K177="","",TODAY()-Table1[[#This Row],[Last Contacted]])</f>
        <v/>
      </c>
      <c r="B177" s="4" t="str">
        <f>_xlfn.XLOOKUP(Table1[[#This Row],[Contact Tempo]],Tempo[Contact Tempo],Tempo[Time Decay],"Never")</f>
        <v>Never</v>
      </c>
      <c r="H177" t="str">
        <f>IF(ISBLANK(Table1[[#This Row],[City]]),"",IF(AND(Table1[[#This Row],[Country]]=Settings!$A$2, Table1[[#This Row],[City]]=Settings!$B$2),"Yes","No"))</f>
        <v/>
      </c>
      <c r="I177" t="str">
        <f>Table1[[#This Row],[Country]]&amp;Table1[[#This Row],[City]]</f>
        <v/>
      </c>
    </row>
    <row r="178" spans="1:9" x14ac:dyDescent="0.2">
      <c r="A178" s="4" t="str">
        <f ca="1">IF(K178="","",TODAY()-Table1[[#This Row],[Last Contacted]])</f>
        <v/>
      </c>
      <c r="B178" s="4" t="str">
        <f>_xlfn.XLOOKUP(Table1[[#This Row],[Contact Tempo]],Tempo[Contact Tempo],Tempo[Time Decay],"Never")</f>
        <v>Never</v>
      </c>
      <c r="H178" t="str">
        <f>IF(ISBLANK(Table1[[#This Row],[City]]),"",IF(AND(Table1[[#This Row],[Country]]=Settings!$A$2, Table1[[#This Row],[City]]=Settings!$B$2),"Yes","No"))</f>
        <v/>
      </c>
      <c r="I178" t="str">
        <f>Table1[[#This Row],[Country]]&amp;Table1[[#This Row],[City]]</f>
        <v/>
      </c>
    </row>
    <row r="179" spans="1:9" x14ac:dyDescent="0.2">
      <c r="A179" s="4" t="str">
        <f ca="1">IF(K179="","",TODAY()-Table1[[#This Row],[Last Contacted]])</f>
        <v/>
      </c>
      <c r="B179" s="4" t="str">
        <f>_xlfn.XLOOKUP(Table1[[#This Row],[Contact Tempo]],Tempo[Contact Tempo],Tempo[Time Decay],"Never")</f>
        <v>Never</v>
      </c>
      <c r="H179" t="str">
        <f>IF(ISBLANK(Table1[[#This Row],[City]]),"",IF(AND(Table1[[#This Row],[Country]]=Settings!$A$2, Table1[[#This Row],[City]]=Settings!$B$2),"Yes","No"))</f>
        <v/>
      </c>
      <c r="I179" t="str">
        <f>Table1[[#This Row],[Country]]&amp;Table1[[#This Row],[City]]</f>
        <v/>
      </c>
    </row>
    <row r="180" spans="1:9" x14ac:dyDescent="0.2">
      <c r="A180" s="4" t="str">
        <f ca="1">IF(K180="","",TODAY()-Table1[[#This Row],[Last Contacted]])</f>
        <v/>
      </c>
      <c r="B180" s="4" t="str">
        <f>_xlfn.XLOOKUP(Table1[[#This Row],[Contact Tempo]],Tempo[Contact Tempo],Tempo[Time Decay],"Never")</f>
        <v>Never</v>
      </c>
      <c r="H180" t="str">
        <f>IF(ISBLANK(Table1[[#This Row],[City]]),"",IF(AND(Table1[[#This Row],[Country]]=Settings!$A$2, Table1[[#This Row],[City]]=Settings!$B$2),"Yes","No"))</f>
        <v/>
      </c>
      <c r="I180" t="str">
        <f>Table1[[#This Row],[Country]]&amp;Table1[[#This Row],[City]]</f>
        <v/>
      </c>
    </row>
    <row r="181" spans="1:9" x14ac:dyDescent="0.2">
      <c r="A181" s="4" t="str">
        <f ca="1">IF(K181="","",TODAY()-Table1[[#This Row],[Last Contacted]])</f>
        <v/>
      </c>
      <c r="B181" s="4" t="str">
        <f>_xlfn.XLOOKUP(Table1[[#This Row],[Contact Tempo]],Tempo[Contact Tempo],Tempo[Time Decay],"Never")</f>
        <v>Never</v>
      </c>
      <c r="H181" t="str">
        <f>IF(ISBLANK(Table1[[#This Row],[City]]),"",IF(AND(Table1[[#This Row],[Country]]=Settings!$A$2, Table1[[#This Row],[City]]=Settings!$B$2),"Yes","No"))</f>
        <v/>
      </c>
      <c r="I181" t="str">
        <f>Table1[[#This Row],[Country]]&amp;Table1[[#This Row],[City]]</f>
        <v/>
      </c>
    </row>
    <row r="182" spans="1:9" x14ac:dyDescent="0.2">
      <c r="A182" s="4" t="str">
        <f ca="1">IF(K182="","",TODAY()-Table1[[#This Row],[Last Contacted]])</f>
        <v/>
      </c>
      <c r="B182" s="4" t="str">
        <f>_xlfn.XLOOKUP(Table1[[#This Row],[Contact Tempo]],Tempo[Contact Tempo],Tempo[Time Decay],"Never")</f>
        <v>Never</v>
      </c>
      <c r="H182" t="str">
        <f>IF(ISBLANK(Table1[[#This Row],[City]]),"",IF(AND(Table1[[#This Row],[Country]]=Settings!$A$2, Table1[[#This Row],[City]]=Settings!$B$2),"Yes","No"))</f>
        <v/>
      </c>
      <c r="I182" t="str">
        <f>Table1[[#This Row],[Country]]&amp;Table1[[#This Row],[City]]</f>
        <v/>
      </c>
    </row>
    <row r="183" spans="1:9" x14ac:dyDescent="0.2">
      <c r="A183" s="4" t="str">
        <f ca="1">IF(K183="","",TODAY()-Table1[[#This Row],[Last Contacted]])</f>
        <v/>
      </c>
      <c r="B183" s="4" t="str">
        <f>_xlfn.XLOOKUP(Table1[[#This Row],[Contact Tempo]],Tempo[Contact Tempo],Tempo[Time Decay],"Never")</f>
        <v>Never</v>
      </c>
      <c r="H183" t="str">
        <f>IF(ISBLANK(Table1[[#This Row],[City]]),"",IF(AND(Table1[[#This Row],[Country]]=Settings!$A$2, Table1[[#This Row],[City]]=Settings!$B$2),"Yes","No"))</f>
        <v/>
      </c>
      <c r="I183" t="str">
        <f>Table1[[#This Row],[Country]]&amp;Table1[[#This Row],[City]]</f>
        <v/>
      </c>
    </row>
    <row r="184" spans="1:9" x14ac:dyDescent="0.2">
      <c r="A184" s="4" t="str">
        <f ca="1">IF(K184="","",TODAY()-Table1[[#This Row],[Last Contacted]])</f>
        <v/>
      </c>
      <c r="B184" s="4" t="str">
        <f>_xlfn.XLOOKUP(Table1[[#This Row],[Contact Tempo]],Tempo[Contact Tempo],Tempo[Time Decay],"Never")</f>
        <v>Never</v>
      </c>
      <c r="H184" t="str">
        <f>IF(ISBLANK(Table1[[#This Row],[City]]),"",IF(AND(Table1[[#This Row],[Country]]=Settings!$A$2, Table1[[#This Row],[City]]=Settings!$B$2),"Yes","No"))</f>
        <v/>
      </c>
      <c r="I184" t="str">
        <f>Table1[[#This Row],[Country]]&amp;Table1[[#This Row],[City]]</f>
        <v/>
      </c>
    </row>
    <row r="185" spans="1:9" x14ac:dyDescent="0.2">
      <c r="A185" s="4" t="str">
        <f ca="1">IF(K185="","",TODAY()-Table1[[#This Row],[Last Contacted]])</f>
        <v/>
      </c>
      <c r="B185" s="4" t="str">
        <f>_xlfn.XLOOKUP(Table1[[#This Row],[Contact Tempo]],Tempo[Contact Tempo],Tempo[Time Decay],"Never")</f>
        <v>Never</v>
      </c>
      <c r="H185" t="str">
        <f>IF(ISBLANK(Table1[[#This Row],[City]]),"",IF(AND(Table1[[#This Row],[Country]]=Settings!$A$2, Table1[[#This Row],[City]]=Settings!$B$2),"Yes","No"))</f>
        <v/>
      </c>
      <c r="I185" t="str">
        <f>Table1[[#This Row],[Country]]&amp;Table1[[#This Row],[City]]</f>
        <v/>
      </c>
    </row>
    <row r="186" spans="1:9" x14ac:dyDescent="0.2">
      <c r="A186" s="4" t="str">
        <f ca="1">IF(K186="","",TODAY()-Table1[[#This Row],[Last Contacted]])</f>
        <v/>
      </c>
      <c r="B186" s="4" t="str">
        <f>_xlfn.XLOOKUP(Table1[[#This Row],[Contact Tempo]],Tempo[Contact Tempo],Tempo[Time Decay],"Never")</f>
        <v>Never</v>
      </c>
      <c r="H186" t="str">
        <f>IF(ISBLANK(Table1[[#This Row],[City]]),"",IF(AND(Table1[[#This Row],[Country]]=Settings!$A$2, Table1[[#This Row],[City]]=Settings!$B$2),"Yes","No"))</f>
        <v/>
      </c>
      <c r="I186" t="str">
        <f>Table1[[#This Row],[Country]]&amp;Table1[[#This Row],[City]]</f>
        <v/>
      </c>
    </row>
    <row r="187" spans="1:9" x14ac:dyDescent="0.2">
      <c r="A187" s="4" t="str">
        <f ca="1">IF(K187="","",TODAY()-Table1[[#This Row],[Last Contacted]])</f>
        <v/>
      </c>
      <c r="B187" s="4" t="str">
        <f>_xlfn.XLOOKUP(Table1[[#This Row],[Contact Tempo]],Tempo[Contact Tempo],Tempo[Time Decay],"Never")</f>
        <v>Never</v>
      </c>
      <c r="H187" t="str">
        <f>IF(ISBLANK(Table1[[#This Row],[City]]),"",IF(AND(Table1[[#This Row],[Country]]=Settings!$A$2, Table1[[#This Row],[City]]=Settings!$B$2),"Yes","No"))</f>
        <v/>
      </c>
      <c r="I187" t="str">
        <f>Table1[[#This Row],[Country]]&amp;Table1[[#This Row],[City]]</f>
        <v/>
      </c>
    </row>
    <row r="188" spans="1:9" x14ac:dyDescent="0.2">
      <c r="A188" s="4" t="str">
        <f ca="1">IF(K188="","",TODAY()-Table1[[#This Row],[Last Contacted]])</f>
        <v/>
      </c>
      <c r="B188" s="4" t="str">
        <f>_xlfn.XLOOKUP(Table1[[#This Row],[Contact Tempo]],Tempo[Contact Tempo],Tempo[Time Decay],"Never")</f>
        <v>Never</v>
      </c>
      <c r="H188" t="str">
        <f>IF(ISBLANK(Table1[[#This Row],[City]]),"",IF(AND(Table1[[#This Row],[Country]]=Settings!$A$2, Table1[[#This Row],[City]]=Settings!$B$2),"Yes","No"))</f>
        <v/>
      </c>
      <c r="I188" t="str">
        <f>Table1[[#This Row],[Country]]&amp;Table1[[#This Row],[City]]</f>
        <v/>
      </c>
    </row>
    <row r="189" spans="1:9" x14ac:dyDescent="0.2">
      <c r="A189" s="4" t="str">
        <f ca="1">IF(K189="","",TODAY()-Table1[[#This Row],[Last Contacted]])</f>
        <v/>
      </c>
      <c r="B189" s="4" t="str">
        <f>_xlfn.XLOOKUP(Table1[[#This Row],[Contact Tempo]],Tempo[Contact Tempo],Tempo[Time Decay],"Never")</f>
        <v>Never</v>
      </c>
      <c r="H189" t="str">
        <f>IF(ISBLANK(Table1[[#This Row],[City]]),"",IF(AND(Table1[[#This Row],[Country]]=Settings!$A$2, Table1[[#This Row],[City]]=Settings!$B$2),"Yes","No"))</f>
        <v/>
      </c>
      <c r="I189" t="str">
        <f>Table1[[#This Row],[Country]]&amp;Table1[[#This Row],[City]]</f>
        <v/>
      </c>
    </row>
    <row r="190" spans="1:9" x14ac:dyDescent="0.2">
      <c r="A190" s="4" t="str">
        <f ca="1">IF(K190="","",TODAY()-Table1[[#This Row],[Last Contacted]])</f>
        <v/>
      </c>
      <c r="B190" s="4" t="str">
        <f>_xlfn.XLOOKUP(Table1[[#This Row],[Contact Tempo]],Tempo[Contact Tempo],Tempo[Time Decay],"Never")</f>
        <v>Never</v>
      </c>
      <c r="H190" t="str">
        <f>IF(ISBLANK(Table1[[#This Row],[City]]),"",IF(AND(Table1[[#This Row],[Country]]=Settings!$A$2, Table1[[#This Row],[City]]=Settings!$B$2),"Yes","No"))</f>
        <v/>
      </c>
      <c r="I190" t="str">
        <f>Table1[[#This Row],[Country]]&amp;Table1[[#This Row],[City]]</f>
        <v/>
      </c>
    </row>
    <row r="191" spans="1:9" x14ac:dyDescent="0.2">
      <c r="A191" s="4" t="str">
        <f ca="1">IF(K191="","",TODAY()-Table1[[#This Row],[Last Contacted]])</f>
        <v/>
      </c>
      <c r="B191" s="4" t="str">
        <f>_xlfn.XLOOKUP(Table1[[#This Row],[Contact Tempo]],Tempo[Contact Tempo],Tempo[Time Decay],"Never")</f>
        <v>Never</v>
      </c>
      <c r="H191" t="str">
        <f>IF(ISBLANK(Table1[[#This Row],[City]]),"",IF(AND(Table1[[#This Row],[Country]]=Settings!$A$2, Table1[[#This Row],[City]]=Settings!$B$2),"Yes","No"))</f>
        <v/>
      </c>
      <c r="I191" t="str">
        <f>Table1[[#This Row],[Country]]&amp;Table1[[#This Row],[City]]</f>
        <v/>
      </c>
    </row>
    <row r="192" spans="1:9" x14ac:dyDescent="0.2">
      <c r="A192" s="4" t="str">
        <f ca="1">IF(K192="","",TODAY()-Table1[[#This Row],[Last Contacted]])</f>
        <v/>
      </c>
      <c r="B192" s="4" t="str">
        <f>_xlfn.XLOOKUP(Table1[[#This Row],[Contact Tempo]],Tempo[Contact Tempo],Tempo[Time Decay],"Never")</f>
        <v>Never</v>
      </c>
      <c r="H192" t="str">
        <f>IF(ISBLANK(Table1[[#This Row],[City]]),"",IF(AND(Table1[[#This Row],[Country]]=Settings!$A$2, Table1[[#This Row],[City]]=Settings!$B$2),"Yes","No"))</f>
        <v/>
      </c>
      <c r="I192" t="str">
        <f>Table1[[#This Row],[Country]]&amp;Table1[[#This Row],[City]]</f>
        <v/>
      </c>
    </row>
    <row r="193" spans="1:9" x14ac:dyDescent="0.2">
      <c r="A193" s="4" t="str">
        <f ca="1">IF(K193="","",TODAY()-Table1[[#This Row],[Last Contacted]])</f>
        <v/>
      </c>
      <c r="B193" s="4" t="str">
        <f>_xlfn.XLOOKUP(Table1[[#This Row],[Contact Tempo]],Tempo[Contact Tempo],Tempo[Time Decay],"Never")</f>
        <v>Never</v>
      </c>
      <c r="H193" t="str">
        <f>IF(ISBLANK(Table1[[#This Row],[City]]),"",IF(AND(Table1[[#This Row],[Country]]=Settings!$A$2, Table1[[#This Row],[City]]=Settings!$B$2),"Yes","No"))</f>
        <v/>
      </c>
      <c r="I193" t="str">
        <f>Table1[[#This Row],[Country]]&amp;Table1[[#This Row],[City]]</f>
        <v/>
      </c>
    </row>
    <row r="194" spans="1:9" x14ac:dyDescent="0.2">
      <c r="A194" s="4" t="str">
        <f ca="1">IF(K194="","",TODAY()-Table1[[#This Row],[Last Contacted]])</f>
        <v/>
      </c>
      <c r="B194" s="4" t="str">
        <f>_xlfn.XLOOKUP(Table1[[#This Row],[Contact Tempo]],Tempo[Contact Tempo],Tempo[Time Decay],"Never")</f>
        <v>Never</v>
      </c>
      <c r="H194" t="str">
        <f>IF(ISBLANK(Table1[[#This Row],[City]]),"",IF(AND(Table1[[#This Row],[Country]]=Settings!$A$2, Table1[[#This Row],[City]]=Settings!$B$2),"Yes","No"))</f>
        <v/>
      </c>
      <c r="I194" t="str">
        <f>Table1[[#This Row],[Country]]&amp;Table1[[#This Row],[City]]</f>
        <v/>
      </c>
    </row>
    <row r="195" spans="1:9" x14ac:dyDescent="0.2">
      <c r="A195" s="4" t="str">
        <f ca="1">IF(K195="","",TODAY()-Table1[[#This Row],[Last Contacted]])</f>
        <v/>
      </c>
      <c r="B195" s="4" t="str">
        <f>_xlfn.XLOOKUP(Table1[[#This Row],[Contact Tempo]],Tempo[Contact Tempo],Tempo[Time Decay],"Never")</f>
        <v>Never</v>
      </c>
      <c r="H195" t="str">
        <f>IF(ISBLANK(Table1[[#This Row],[City]]),"",IF(AND(Table1[[#This Row],[Country]]=Settings!$A$2, Table1[[#This Row],[City]]=Settings!$B$2),"Yes","No"))</f>
        <v/>
      </c>
      <c r="I195" t="str">
        <f>Table1[[#This Row],[Country]]&amp;Table1[[#This Row],[City]]</f>
        <v/>
      </c>
    </row>
    <row r="196" spans="1:9" x14ac:dyDescent="0.2">
      <c r="A196" s="4" t="str">
        <f ca="1">IF(K196="","",TODAY()-Table1[[#This Row],[Last Contacted]])</f>
        <v/>
      </c>
      <c r="B196" s="4" t="str">
        <f>_xlfn.XLOOKUP(Table1[[#This Row],[Contact Tempo]],Tempo[Contact Tempo],Tempo[Time Decay],"Never")</f>
        <v>Never</v>
      </c>
      <c r="H196" t="str">
        <f>IF(ISBLANK(Table1[[#This Row],[City]]),"",IF(AND(Table1[[#This Row],[Country]]=Settings!$A$2, Table1[[#This Row],[City]]=Settings!$B$2),"Yes","No"))</f>
        <v/>
      </c>
      <c r="I196" t="str">
        <f>Table1[[#This Row],[Country]]&amp;Table1[[#This Row],[City]]</f>
        <v/>
      </c>
    </row>
    <row r="197" spans="1:9" x14ac:dyDescent="0.2">
      <c r="A197" s="4" t="str">
        <f ca="1">IF(K197="","",TODAY()-Table1[[#This Row],[Last Contacted]])</f>
        <v/>
      </c>
      <c r="B197" s="4" t="str">
        <f>_xlfn.XLOOKUP(Table1[[#This Row],[Contact Tempo]],Tempo[Contact Tempo],Tempo[Time Decay],"Never")</f>
        <v>Never</v>
      </c>
      <c r="H197" t="str">
        <f>IF(ISBLANK(Table1[[#This Row],[City]]),"",IF(AND(Table1[[#This Row],[Country]]=Settings!$A$2, Table1[[#This Row],[City]]=Settings!$B$2),"Yes","No"))</f>
        <v/>
      </c>
      <c r="I197" t="str">
        <f>Table1[[#This Row],[Country]]&amp;Table1[[#This Row],[City]]</f>
        <v/>
      </c>
    </row>
    <row r="198" spans="1:9" x14ac:dyDescent="0.2">
      <c r="A198" s="4" t="str">
        <f ca="1">IF(K198="","",TODAY()-Table1[[#This Row],[Last Contacted]])</f>
        <v/>
      </c>
      <c r="B198" s="4" t="str">
        <f>_xlfn.XLOOKUP(Table1[[#This Row],[Contact Tempo]],Tempo[Contact Tempo],Tempo[Time Decay],"Never")</f>
        <v>Never</v>
      </c>
      <c r="H198" t="str">
        <f>IF(ISBLANK(Table1[[#This Row],[City]]),"",IF(AND(Table1[[#This Row],[Country]]=Settings!$A$2, Table1[[#This Row],[City]]=Settings!$B$2),"Yes","No"))</f>
        <v/>
      </c>
      <c r="I198" t="str">
        <f>Table1[[#This Row],[Country]]&amp;Table1[[#This Row],[City]]</f>
        <v/>
      </c>
    </row>
    <row r="199" spans="1:9" x14ac:dyDescent="0.2">
      <c r="A199" s="4" t="str">
        <f ca="1">IF(K199="","",TODAY()-Table1[[#This Row],[Last Contacted]])</f>
        <v/>
      </c>
      <c r="B199" s="4" t="str">
        <f>_xlfn.XLOOKUP(Table1[[#This Row],[Contact Tempo]],Tempo[Contact Tempo],Tempo[Time Decay],"Never")</f>
        <v>Never</v>
      </c>
      <c r="H199" t="str">
        <f>IF(ISBLANK(Table1[[#This Row],[City]]),"",IF(AND(Table1[[#This Row],[Country]]=Settings!$A$2, Table1[[#This Row],[City]]=Settings!$B$2),"Yes","No"))</f>
        <v/>
      </c>
      <c r="I199" t="str">
        <f>Table1[[#This Row],[Country]]&amp;Table1[[#This Row],[City]]</f>
        <v/>
      </c>
    </row>
    <row r="200" spans="1:9" x14ac:dyDescent="0.2">
      <c r="A200" s="4" t="str">
        <f ca="1">IF(K200="","",TODAY()-Table1[[#This Row],[Last Contacted]])</f>
        <v/>
      </c>
      <c r="B200" s="4" t="str">
        <f>_xlfn.XLOOKUP(Table1[[#This Row],[Contact Tempo]],Tempo[Contact Tempo],Tempo[Time Decay],"Never")</f>
        <v>Never</v>
      </c>
      <c r="H200" t="str">
        <f>IF(ISBLANK(Table1[[#This Row],[City]]),"",IF(AND(Table1[[#This Row],[Country]]=Settings!$A$2, Table1[[#This Row],[City]]=Settings!$B$2),"Yes","No"))</f>
        <v/>
      </c>
      <c r="I200" t="str">
        <f>Table1[[#This Row],[Country]]&amp;Table1[[#This Row],[City]]</f>
        <v/>
      </c>
    </row>
    <row r="201" spans="1:9" x14ac:dyDescent="0.2">
      <c r="A201" s="4" t="str">
        <f ca="1">IF(K201="","",TODAY()-Table1[[#This Row],[Last Contacted]])</f>
        <v/>
      </c>
      <c r="B201" s="4" t="str">
        <f>_xlfn.XLOOKUP(Table1[[#This Row],[Contact Tempo]],Tempo[Contact Tempo],Tempo[Time Decay],"Never")</f>
        <v>Never</v>
      </c>
      <c r="H201" t="str">
        <f>IF(ISBLANK(Table1[[#This Row],[City]]),"",IF(AND(Table1[[#This Row],[Country]]=Settings!$A$2, Table1[[#This Row],[City]]=Settings!$B$2),"Yes","No"))</f>
        <v/>
      </c>
      <c r="I201" t="str">
        <f>Table1[[#This Row],[Country]]&amp;Table1[[#This Row],[City]]</f>
        <v/>
      </c>
    </row>
    <row r="202" spans="1:9" x14ac:dyDescent="0.2">
      <c r="A202" s="4" t="str">
        <f ca="1">IF(K202="","",TODAY()-Table1[[#This Row],[Last Contacted]])</f>
        <v/>
      </c>
      <c r="B202" s="4" t="str">
        <f>_xlfn.XLOOKUP(Table1[[#This Row],[Contact Tempo]],Tempo[Contact Tempo],Tempo[Time Decay],"Never")</f>
        <v>Never</v>
      </c>
      <c r="H202" t="str">
        <f>IF(ISBLANK(Table1[[#This Row],[City]]),"",IF(AND(Table1[[#This Row],[Country]]=Settings!$A$2, Table1[[#This Row],[City]]=Settings!$B$2),"Yes","No"))</f>
        <v/>
      </c>
      <c r="I202" t="str">
        <f>Table1[[#This Row],[Country]]&amp;Table1[[#This Row],[City]]</f>
        <v/>
      </c>
    </row>
    <row r="203" spans="1:9" x14ac:dyDescent="0.2">
      <c r="A203" s="4" t="str">
        <f ca="1">IF(K203="","",TODAY()-Table1[[#This Row],[Last Contacted]])</f>
        <v/>
      </c>
      <c r="B203" s="4" t="str">
        <f>_xlfn.XLOOKUP(Table1[[#This Row],[Contact Tempo]],Tempo[Contact Tempo],Tempo[Time Decay],"Never")</f>
        <v>Never</v>
      </c>
      <c r="H203" t="str">
        <f>IF(ISBLANK(Table1[[#This Row],[City]]),"",IF(AND(Table1[[#This Row],[Country]]=Settings!$A$2, Table1[[#This Row],[City]]=Settings!$B$2),"Yes","No"))</f>
        <v/>
      </c>
      <c r="I203" t="str">
        <f>Table1[[#This Row],[Country]]&amp;Table1[[#This Row],[City]]</f>
        <v/>
      </c>
    </row>
    <row r="204" spans="1:9" x14ac:dyDescent="0.2">
      <c r="A204" s="4" t="str">
        <f ca="1">IF(K204="","",TODAY()-Table1[[#This Row],[Last Contacted]])</f>
        <v/>
      </c>
      <c r="B204" s="4" t="str">
        <f>_xlfn.XLOOKUP(Table1[[#This Row],[Contact Tempo]],Tempo[Contact Tempo],Tempo[Time Decay],"Never")</f>
        <v>Never</v>
      </c>
      <c r="H204" t="str">
        <f>IF(ISBLANK(Table1[[#This Row],[City]]),"",IF(AND(Table1[[#This Row],[Country]]=Settings!$A$2, Table1[[#This Row],[City]]=Settings!$B$2),"Yes","No"))</f>
        <v/>
      </c>
      <c r="I204" t="str">
        <f>Table1[[#This Row],[Country]]&amp;Table1[[#This Row],[City]]</f>
        <v/>
      </c>
    </row>
    <row r="205" spans="1:9" x14ac:dyDescent="0.2">
      <c r="A205" s="4" t="str">
        <f ca="1">IF(K205="","",TODAY()-Table1[[#This Row],[Last Contacted]])</f>
        <v/>
      </c>
      <c r="B205" s="4" t="str">
        <f>_xlfn.XLOOKUP(Table1[[#This Row],[Contact Tempo]],Tempo[Contact Tempo],Tempo[Time Decay],"Never")</f>
        <v>Never</v>
      </c>
      <c r="H205" t="str">
        <f>IF(ISBLANK(Table1[[#This Row],[City]]),"",IF(AND(Table1[[#This Row],[Country]]=Settings!$A$2, Table1[[#This Row],[City]]=Settings!$B$2),"Yes","No"))</f>
        <v/>
      </c>
      <c r="I205" t="str">
        <f>Table1[[#This Row],[Country]]&amp;Table1[[#This Row],[City]]</f>
        <v/>
      </c>
    </row>
    <row r="206" spans="1:9" x14ac:dyDescent="0.2">
      <c r="A206" s="4" t="str">
        <f ca="1">IF(K206="","",TODAY()-Table1[[#This Row],[Last Contacted]])</f>
        <v/>
      </c>
      <c r="B206" s="4" t="str">
        <f>_xlfn.XLOOKUP(Table1[[#This Row],[Contact Tempo]],Tempo[Contact Tempo],Tempo[Time Decay],"Never")</f>
        <v>Never</v>
      </c>
      <c r="H206" t="str">
        <f>IF(ISBLANK(Table1[[#This Row],[City]]),"",IF(AND(Table1[[#This Row],[Country]]=Settings!$A$2, Table1[[#This Row],[City]]=Settings!$B$2),"Yes","No"))</f>
        <v/>
      </c>
      <c r="I206" t="str">
        <f>Table1[[#This Row],[Country]]&amp;Table1[[#This Row],[City]]</f>
        <v/>
      </c>
    </row>
    <row r="207" spans="1:9" x14ac:dyDescent="0.2">
      <c r="A207" s="4" t="str">
        <f ca="1">IF(K207="","",TODAY()-Table1[[#This Row],[Last Contacted]])</f>
        <v/>
      </c>
      <c r="B207" s="4" t="str">
        <f>_xlfn.XLOOKUP(Table1[[#This Row],[Contact Tempo]],Tempo[Contact Tempo],Tempo[Time Decay],"Never")</f>
        <v>Never</v>
      </c>
      <c r="H207" t="str">
        <f>IF(ISBLANK(Table1[[#This Row],[City]]),"",IF(AND(Table1[[#This Row],[Country]]=Settings!$A$2, Table1[[#This Row],[City]]=Settings!$B$2),"Yes","No"))</f>
        <v/>
      </c>
      <c r="I207" t="str">
        <f>Table1[[#This Row],[Country]]&amp;Table1[[#This Row],[City]]</f>
        <v/>
      </c>
    </row>
    <row r="208" spans="1:9" x14ac:dyDescent="0.2">
      <c r="A208" s="4" t="str">
        <f ca="1">IF(K208="","",TODAY()-Table1[[#This Row],[Last Contacted]])</f>
        <v/>
      </c>
      <c r="B208" s="4" t="str">
        <f>_xlfn.XLOOKUP(Table1[[#This Row],[Contact Tempo]],Tempo[Contact Tempo],Tempo[Time Decay],"Never")</f>
        <v>Never</v>
      </c>
      <c r="H208" t="str">
        <f>IF(ISBLANK(Table1[[#This Row],[City]]),"",IF(AND(Table1[[#This Row],[Country]]=Settings!$A$2, Table1[[#This Row],[City]]=Settings!$B$2),"Yes","No"))</f>
        <v/>
      </c>
      <c r="I208" t="str">
        <f>Table1[[#This Row],[Country]]&amp;Table1[[#This Row],[City]]</f>
        <v/>
      </c>
    </row>
    <row r="209" spans="1:9" x14ac:dyDescent="0.2">
      <c r="A209" s="4" t="str">
        <f ca="1">IF(K209="","",TODAY()-Table1[[#This Row],[Last Contacted]])</f>
        <v/>
      </c>
      <c r="B209" s="4" t="str">
        <f>_xlfn.XLOOKUP(Table1[[#This Row],[Contact Tempo]],Tempo[Contact Tempo],Tempo[Time Decay],"Never")</f>
        <v>Never</v>
      </c>
      <c r="H209" t="str">
        <f>IF(ISBLANK(Table1[[#This Row],[City]]),"",IF(AND(Table1[[#This Row],[Country]]=Settings!$A$2, Table1[[#This Row],[City]]=Settings!$B$2),"Yes","No"))</f>
        <v/>
      </c>
      <c r="I209" t="str">
        <f>Table1[[#This Row],[Country]]&amp;Table1[[#This Row],[City]]</f>
        <v/>
      </c>
    </row>
    <row r="210" spans="1:9" x14ac:dyDescent="0.2">
      <c r="A210" s="4" t="str">
        <f ca="1">IF(K210="","",TODAY()-Table1[[#This Row],[Last Contacted]])</f>
        <v/>
      </c>
      <c r="B210" s="4" t="str">
        <f>_xlfn.XLOOKUP(Table1[[#This Row],[Contact Tempo]],Tempo[Contact Tempo],Tempo[Time Decay],"Never")</f>
        <v>Never</v>
      </c>
      <c r="H210" t="str">
        <f>IF(ISBLANK(Table1[[#This Row],[City]]),"",IF(AND(Table1[[#This Row],[Country]]=Settings!$A$2, Table1[[#This Row],[City]]=Settings!$B$2),"Yes","No"))</f>
        <v/>
      </c>
      <c r="I210" t="str">
        <f>Table1[[#This Row],[Country]]&amp;Table1[[#This Row],[City]]</f>
        <v/>
      </c>
    </row>
    <row r="211" spans="1:9" x14ac:dyDescent="0.2">
      <c r="A211" s="4" t="str">
        <f ca="1">IF(K211="","",TODAY()-Table1[[#This Row],[Last Contacted]])</f>
        <v/>
      </c>
      <c r="B211" s="4" t="str">
        <f>_xlfn.XLOOKUP(Table1[[#This Row],[Contact Tempo]],Tempo[Contact Tempo],Tempo[Time Decay],"Never")</f>
        <v>Never</v>
      </c>
      <c r="H211" t="str">
        <f>IF(ISBLANK(Table1[[#This Row],[City]]),"",IF(AND(Table1[[#This Row],[Country]]=Settings!$A$2, Table1[[#This Row],[City]]=Settings!$B$2),"Yes","No"))</f>
        <v/>
      </c>
      <c r="I211" t="str">
        <f>Table1[[#This Row],[Country]]&amp;Table1[[#This Row],[City]]</f>
        <v/>
      </c>
    </row>
    <row r="212" spans="1:9" x14ac:dyDescent="0.2">
      <c r="A212" s="4" t="str">
        <f ca="1">IF(K212="","",TODAY()-Table1[[#This Row],[Last Contacted]])</f>
        <v/>
      </c>
      <c r="B212" s="4" t="str">
        <f>_xlfn.XLOOKUP(Table1[[#This Row],[Contact Tempo]],Tempo[Contact Tempo],Tempo[Time Decay],"Never")</f>
        <v>Never</v>
      </c>
      <c r="H212" t="str">
        <f>IF(ISBLANK(Table1[[#This Row],[City]]),"",IF(AND(Table1[[#This Row],[Country]]=Settings!$A$2, Table1[[#This Row],[City]]=Settings!$B$2),"Yes","No"))</f>
        <v/>
      </c>
      <c r="I212" t="str">
        <f>Table1[[#This Row],[Country]]&amp;Table1[[#This Row],[City]]</f>
        <v/>
      </c>
    </row>
    <row r="213" spans="1:9" x14ac:dyDescent="0.2">
      <c r="A213" s="4" t="str">
        <f ca="1">IF(K213="","",TODAY()-Table1[[#This Row],[Last Contacted]])</f>
        <v/>
      </c>
      <c r="B213" s="4" t="str">
        <f>_xlfn.XLOOKUP(Table1[[#This Row],[Contact Tempo]],Tempo[Contact Tempo],Tempo[Time Decay],"Never")</f>
        <v>Never</v>
      </c>
      <c r="H213" t="str">
        <f>IF(ISBLANK(Table1[[#This Row],[City]]),"",IF(AND(Table1[[#This Row],[Country]]=Settings!$A$2, Table1[[#This Row],[City]]=Settings!$B$2),"Yes","No"))</f>
        <v/>
      </c>
      <c r="I213" t="str">
        <f>Table1[[#This Row],[Country]]&amp;Table1[[#This Row],[City]]</f>
        <v/>
      </c>
    </row>
    <row r="214" spans="1:9" x14ac:dyDescent="0.2">
      <c r="A214" s="4" t="str">
        <f ca="1">IF(K214="","",TODAY()-Table1[[#This Row],[Last Contacted]])</f>
        <v/>
      </c>
      <c r="B214" s="4" t="str">
        <f>_xlfn.XLOOKUP(Table1[[#This Row],[Contact Tempo]],Tempo[Contact Tempo],Tempo[Time Decay],"Never")</f>
        <v>Never</v>
      </c>
      <c r="H214" t="str">
        <f>IF(ISBLANK(Table1[[#This Row],[City]]),"",IF(AND(Table1[[#This Row],[Country]]=Settings!$A$2, Table1[[#This Row],[City]]=Settings!$B$2),"Yes","No"))</f>
        <v/>
      </c>
      <c r="I214" t="str">
        <f>Table1[[#This Row],[Country]]&amp;Table1[[#This Row],[City]]</f>
        <v/>
      </c>
    </row>
    <row r="215" spans="1:9" x14ac:dyDescent="0.2">
      <c r="A215" s="4" t="str">
        <f ca="1">IF(K215="","",TODAY()-Table1[[#This Row],[Last Contacted]])</f>
        <v/>
      </c>
      <c r="B215" s="4" t="str">
        <f>_xlfn.XLOOKUP(Table1[[#This Row],[Contact Tempo]],Tempo[Contact Tempo],Tempo[Time Decay],"Never")</f>
        <v>Never</v>
      </c>
      <c r="H215" t="str">
        <f>IF(ISBLANK(Table1[[#This Row],[City]]),"",IF(AND(Table1[[#This Row],[Country]]=Settings!$A$2, Table1[[#This Row],[City]]=Settings!$B$2),"Yes","No"))</f>
        <v/>
      </c>
      <c r="I215" t="str">
        <f>Table1[[#This Row],[Country]]&amp;Table1[[#This Row],[City]]</f>
        <v/>
      </c>
    </row>
    <row r="216" spans="1:9" x14ac:dyDescent="0.2">
      <c r="A216" s="4" t="str">
        <f ca="1">IF(K216="","",TODAY()-Table1[[#This Row],[Last Contacted]])</f>
        <v/>
      </c>
      <c r="B216" s="4" t="str">
        <f>_xlfn.XLOOKUP(Table1[[#This Row],[Contact Tempo]],Tempo[Contact Tempo],Tempo[Time Decay],"Never")</f>
        <v>Never</v>
      </c>
      <c r="H216" t="str">
        <f>IF(ISBLANK(Table1[[#This Row],[City]]),"",IF(AND(Table1[[#This Row],[Country]]=Settings!$A$2, Table1[[#This Row],[City]]=Settings!$B$2),"Yes","No"))</f>
        <v/>
      </c>
      <c r="I216" t="str">
        <f>Table1[[#This Row],[Country]]&amp;Table1[[#This Row],[City]]</f>
        <v/>
      </c>
    </row>
    <row r="217" spans="1:9" x14ac:dyDescent="0.2">
      <c r="A217" s="4" t="str">
        <f ca="1">IF(K217="","",TODAY()-Table1[[#This Row],[Last Contacted]])</f>
        <v/>
      </c>
      <c r="B217" s="4" t="str">
        <f>_xlfn.XLOOKUP(Table1[[#This Row],[Contact Tempo]],Tempo[Contact Tempo],Tempo[Time Decay],"Never")</f>
        <v>Never</v>
      </c>
      <c r="H217" t="str">
        <f>IF(ISBLANK(Table1[[#This Row],[City]]),"",IF(AND(Table1[[#This Row],[Country]]=Settings!$A$2, Table1[[#This Row],[City]]=Settings!$B$2),"Yes","No"))</f>
        <v/>
      </c>
      <c r="I217" t="str">
        <f>Table1[[#This Row],[Country]]&amp;Table1[[#This Row],[City]]</f>
        <v/>
      </c>
    </row>
    <row r="218" spans="1:9" x14ac:dyDescent="0.2">
      <c r="A218" s="4" t="str">
        <f ca="1">IF(K218="","",TODAY()-Table1[[#This Row],[Last Contacted]])</f>
        <v/>
      </c>
      <c r="B218" s="4" t="str">
        <f>_xlfn.XLOOKUP(Table1[[#This Row],[Contact Tempo]],Tempo[Contact Tempo],Tempo[Time Decay],"Never")</f>
        <v>Never</v>
      </c>
      <c r="H218" t="str">
        <f>IF(ISBLANK(Table1[[#This Row],[City]]),"",IF(AND(Table1[[#This Row],[Country]]=Settings!$A$2, Table1[[#This Row],[City]]=Settings!$B$2),"Yes","No"))</f>
        <v/>
      </c>
      <c r="I218" t="str">
        <f>Table1[[#This Row],[Country]]&amp;Table1[[#This Row],[City]]</f>
        <v/>
      </c>
    </row>
    <row r="219" spans="1:9" x14ac:dyDescent="0.2">
      <c r="A219" s="4" t="str">
        <f ca="1">IF(K219="","",TODAY()-Table1[[#This Row],[Last Contacted]])</f>
        <v/>
      </c>
      <c r="B219" s="4" t="str">
        <f>_xlfn.XLOOKUP(Table1[[#This Row],[Contact Tempo]],Tempo[Contact Tempo],Tempo[Time Decay],"Never")</f>
        <v>Never</v>
      </c>
      <c r="H219" t="str">
        <f>IF(ISBLANK(Table1[[#This Row],[City]]),"",IF(AND(Table1[[#This Row],[Country]]=Settings!$A$2, Table1[[#This Row],[City]]=Settings!$B$2),"Yes","No"))</f>
        <v/>
      </c>
      <c r="I219" t="str">
        <f>Table1[[#This Row],[Country]]&amp;Table1[[#This Row],[City]]</f>
        <v/>
      </c>
    </row>
    <row r="220" spans="1:9" x14ac:dyDescent="0.2">
      <c r="A220" s="4" t="str">
        <f ca="1">IF(K220="","",TODAY()-Table1[[#This Row],[Last Contacted]])</f>
        <v/>
      </c>
      <c r="B220" s="4" t="str">
        <f>_xlfn.XLOOKUP(Table1[[#This Row],[Contact Tempo]],Tempo[Contact Tempo],Tempo[Time Decay],"Never")</f>
        <v>Never</v>
      </c>
      <c r="H220" t="str">
        <f>IF(ISBLANK(Table1[[#This Row],[City]]),"",IF(AND(Table1[[#This Row],[Country]]=Settings!$A$2, Table1[[#This Row],[City]]=Settings!$B$2),"Yes","No"))</f>
        <v/>
      </c>
      <c r="I220" t="str">
        <f>Table1[[#This Row],[Country]]&amp;Table1[[#This Row],[City]]</f>
        <v/>
      </c>
    </row>
    <row r="221" spans="1:9" x14ac:dyDescent="0.2">
      <c r="A221" s="4" t="str">
        <f ca="1">IF(K221="","",TODAY()-Table1[[#This Row],[Last Contacted]])</f>
        <v/>
      </c>
      <c r="B221" s="4" t="str">
        <f>_xlfn.XLOOKUP(Table1[[#This Row],[Contact Tempo]],Tempo[Contact Tempo],Tempo[Time Decay],"Never")</f>
        <v>Never</v>
      </c>
      <c r="H221" t="str">
        <f>IF(ISBLANK(Table1[[#This Row],[City]]),"",IF(AND(Table1[[#This Row],[Country]]=Settings!$A$2, Table1[[#This Row],[City]]=Settings!$B$2),"Yes","No"))</f>
        <v/>
      </c>
      <c r="I221" t="str">
        <f>Table1[[#This Row],[Country]]&amp;Table1[[#This Row],[City]]</f>
        <v/>
      </c>
    </row>
    <row r="222" spans="1:9" x14ac:dyDescent="0.2">
      <c r="A222" s="4" t="str">
        <f ca="1">IF(K222="","",TODAY()-Table1[[#This Row],[Last Contacted]])</f>
        <v/>
      </c>
      <c r="B222" s="4" t="str">
        <f>_xlfn.XLOOKUP(Table1[[#This Row],[Contact Tempo]],Tempo[Contact Tempo],Tempo[Time Decay],"Never")</f>
        <v>Never</v>
      </c>
      <c r="H222" t="str">
        <f>IF(ISBLANK(Table1[[#This Row],[City]]),"",IF(AND(Table1[[#This Row],[Country]]=Settings!$A$2, Table1[[#This Row],[City]]=Settings!$B$2),"Yes","No"))</f>
        <v/>
      </c>
      <c r="I222" t="str">
        <f>Table1[[#This Row],[Country]]&amp;Table1[[#This Row],[City]]</f>
        <v/>
      </c>
    </row>
    <row r="223" spans="1:9" x14ac:dyDescent="0.2">
      <c r="A223" s="4" t="str">
        <f ca="1">IF(K223="","",TODAY()-Table1[[#This Row],[Last Contacted]])</f>
        <v/>
      </c>
      <c r="B223" s="4" t="str">
        <f>_xlfn.XLOOKUP(Table1[[#This Row],[Contact Tempo]],Tempo[Contact Tempo],Tempo[Time Decay],"Never")</f>
        <v>Never</v>
      </c>
      <c r="H223" t="str">
        <f>IF(ISBLANK(Table1[[#This Row],[City]]),"",IF(AND(Table1[[#This Row],[Country]]=Settings!$A$2, Table1[[#This Row],[City]]=Settings!$B$2),"Yes","No"))</f>
        <v/>
      </c>
      <c r="I223" t="str">
        <f>Table1[[#This Row],[Country]]&amp;Table1[[#This Row],[City]]</f>
        <v/>
      </c>
    </row>
    <row r="224" spans="1:9" x14ac:dyDescent="0.2">
      <c r="A224" s="4" t="str">
        <f ca="1">IF(K224="","",TODAY()-Table1[[#This Row],[Last Contacted]])</f>
        <v/>
      </c>
      <c r="B224" s="4" t="str">
        <f>_xlfn.XLOOKUP(Table1[[#This Row],[Contact Tempo]],Tempo[Contact Tempo],Tempo[Time Decay],"Never")</f>
        <v>Never</v>
      </c>
      <c r="H224" t="str">
        <f>IF(ISBLANK(Table1[[#This Row],[City]]),"",IF(AND(Table1[[#This Row],[Country]]=Settings!$A$2, Table1[[#This Row],[City]]=Settings!$B$2),"Yes","No"))</f>
        <v/>
      </c>
      <c r="I224" t="str">
        <f>Table1[[#This Row],[Country]]&amp;Table1[[#This Row],[City]]</f>
        <v/>
      </c>
    </row>
    <row r="225" spans="1:9" x14ac:dyDescent="0.2">
      <c r="A225" s="4" t="str">
        <f ca="1">IF(K225="","",TODAY()-Table1[[#This Row],[Last Contacted]])</f>
        <v/>
      </c>
      <c r="B225" s="4" t="str">
        <f>_xlfn.XLOOKUP(Table1[[#This Row],[Contact Tempo]],Tempo[Contact Tempo],Tempo[Time Decay],"Never")</f>
        <v>Never</v>
      </c>
      <c r="H225" t="str">
        <f>IF(ISBLANK(Table1[[#This Row],[City]]),"",IF(AND(Table1[[#This Row],[Country]]=Settings!$A$2, Table1[[#This Row],[City]]=Settings!$B$2),"Yes","No"))</f>
        <v/>
      </c>
      <c r="I225" t="str">
        <f>Table1[[#This Row],[Country]]&amp;Table1[[#This Row],[City]]</f>
        <v/>
      </c>
    </row>
    <row r="226" spans="1:9" x14ac:dyDescent="0.2">
      <c r="A226" s="4" t="str">
        <f ca="1">IF(K226="","",TODAY()-Table1[[#This Row],[Last Contacted]])</f>
        <v/>
      </c>
      <c r="B226" s="4" t="str">
        <f>_xlfn.XLOOKUP(Table1[[#This Row],[Contact Tempo]],Tempo[Contact Tempo],Tempo[Time Decay],"Never")</f>
        <v>Never</v>
      </c>
      <c r="H226" t="str">
        <f>IF(ISBLANK(Table1[[#This Row],[City]]),"",IF(AND(Table1[[#This Row],[Country]]=Settings!$A$2, Table1[[#This Row],[City]]=Settings!$B$2),"Yes","No"))</f>
        <v/>
      </c>
      <c r="I226" t="str">
        <f>Table1[[#This Row],[Country]]&amp;Table1[[#This Row],[City]]</f>
        <v/>
      </c>
    </row>
    <row r="227" spans="1:9" x14ac:dyDescent="0.2">
      <c r="A227" s="4" t="str">
        <f ca="1">IF(K227="","",TODAY()-Table1[[#This Row],[Last Contacted]])</f>
        <v/>
      </c>
      <c r="B227" s="4" t="str">
        <f>_xlfn.XLOOKUP(Table1[[#This Row],[Contact Tempo]],Tempo[Contact Tempo],Tempo[Time Decay],"Never")</f>
        <v>Never</v>
      </c>
      <c r="H227" t="str">
        <f>IF(ISBLANK(Table1[[#This Row],[City]]),"",IF(AND(Table1[[#This Row],[Country]]=Settings!$A$2, Table1[[#This Row],[City]]=Settings!$B$2),"Yes","No"))</f>
        <v/>
      </c>
      <c r="I227" t="str">
        <f>Table1[[#This Row],[Country]]&amp;Table1[[#This Row],[City]]</f>
        <v/>
      </c>
    </row>
    <row r="228" spans="1:9" x14ac:dyDescent="0.2">
      <c r="A228" s="4" t="str">
        <f ca="1">IF(K228="","",TODAY()-Table1[[#This Row],[Last Contacted]])</f>
        <v/>
      </c>
      <c r="B228" s="4" t="str">
        <f>_xlfn.XLOOKUP(Table1[[#This Row],[Contact Tempo]],Tempo[Contact Tempo],Tempo[Time Decay],"Never")</f>
        <v>Never</v>
      </c>
      <c r="H228" t="str">
        <f>IF(ISBLANK(Table1[[#This Row],[City]]),"",IF(AND(Table1[[#This Row],[Country]]=Settings!$A$2, Table1[[#This Row],[City]]=Settings!$B$2),"Yes","No"))</f>
        <v/>
      </c>
      <c r="I228" t="str">
        <f>Table1[[#This Row],[Country]]&amp;Table1[[#This Row],[City]]</f>
        <v/>
      </c>
    </row>
    <row r="229" spans="1:9" x14ac:dyDescent="0.2">
      <c r="A229" s="4" t="str">
        <f ca="1">IF(K229="","",TODAY()-Table1[[#This Row],[Last Contacted]])</f>
        <v/>
      </c>
      <c r="B229" s="4" t="str">
        <f>_xlfn.XLOOKUP(Table1[[#This Row],[Contact Tempo]],Tempo[Contact Tempo],Tempo[Time Decay],"Never")</f>
        <v>Never</v>
      </c>
      <c r="H229" t="str">
        <f>IF(ISBLANK(Table1[[#This Row],[City]]),"",IF(AND(Table1[[#This Row],[Country]]=Settings!$A$2, Table1[[#This Row],[City]]=Settings!$B$2),"Yes","No"))</f>
        <v/>
      </c>
      <c r="I229" t="str">
        <f>Table1[[#This Row],[Country]]&amp;Table1[[#This Row],[City]]</f>
        <v/>
      </c>
    </row>
    <row r="230" spans="1:9" x14ac:dyDescent="0.2">
      <c r="A230" s="4" t="str">
        <f ca="1">IF(K230="","",TODAY()-Table1[[#This Row],[Last Contacted]])</f>
        <v/>
      </c>
      <c r="B230" s="4" t="str">
        <f>_xlfn.XLOOKUP(Table1[[#This Row],[Contact Tempo]],Tempo[Contact Tempo],Tempo[Time Decay],"Never")</f>
        <v>Never</v>
      </c>
      <c r="H230" t="str">
        <f>IF(ISBLANK(Table1[[#This Row],[City]]),"",IF(AND(Table1[[#This Row],[Country]]=Settings!$A$2, Table1[[#This Row],[City]]=Settings!$B$2),"Yes","No"))</f>
        <v/>
      </c>
      <c r="I230" t="str">
        <f>Table1[[#This Row],[Country]]&amp;Table1[[#This Row],[City]]</f>
        <v/>
      </c>
    </row>
    <row r="231" spans="1:9" x14ac:dyDescent="0.2">
      <c r="A231" s="4" t="str">
        <f ca="1">IF(K231="","",TODAY()-Table1[[#This Row],[Last Contacted]])</f>
        <v/>
      </c>
      <c r="B231" s="4" t="str">
        <f>_xlfn.XLOOKUP(Table1[[#This Row],[Contact Tempo]],Tempo[Contact Tempo],Tempo[Time Decay],"Never")</f>
        <v>Never</v>
      </c>
      <c r="H231" t="str">
        <f>IF(ISBLANK(Table1[[#This Row],[City]]),"",IF(AND(Table1[[#This Row],[Country]]=Settings!$A$2, Table1[[#This Row],[City]]=Settings!$B$2),"Yes","No"))</f>
        <v/>
      </c>
      <c r="I231" t="str">
        <f>Table1[[#This Row],[Country]]&amp;Table1[[#This Row],[City]]</f>
        <v/>
      </c>
    </row>
    <row r="232" spans="1:9" x14ac:dyDescent="0.2">
      <c r="A232" s="4" t="str">
        <f ca="1">IF(K232="","",TODAY()-Table1[[#This Row],[Last Contacted]])</f>
        <v/>
      </c>
      <c r="B232" s="4" t="str">
        <f>_xlfn.XLOOKUP(Table1[[#This Row],[Contact Tempo]],Tempo[Contact Tempo],Tempo[Time Decay],"Never")</f>
        <v>Never</v>
      </c>
      <c r="H232" t="str">
        <f>IF(ISBLANK(Table1[[#This Row],[City]]),"",IF(AND(Table1[[#This Row],[Country]]=Settings!$A$2, Table1[[#This Row],[City]]=Settings!$B$2),"Yes","No"))</f>
        <v/>
      </c>
      <c r="I232" t="str">
        <f>Table1[[#This Row],[Country]]&amp;Table1[[#This Row],[City]]</f>
        <v/>
      </c>
    </row>
    <row r="233" spans="1:9" x14ac:dyDescent="0.2">
      <c r="A233" s="4" t="str">
        <f ca="1">IF(K233="","",TODAY()-Table1[[#This Row],[Last Contacted]])</f>
        <v/>
      </c>
      <c r="B233" s="4" t="str">
        <f>_xlfn.XLOOKUP(Table1[[#This Row],[Contact Tempo]],Tempo[Contact Tempo],Tempo[Time Decay],"Never")</f>
        <v>Never</v>
      </c>
      <c r="H233" t="str">
        <f>IF(ISBLANK(Table1[[#This Row],[City]]),"",IF(AND(Table1[[#This Row],[Country]]=Settings!$A$2, Table1[[#This Row],[City]]=Settings!$B$2),"Yes","No"))</f>
        <v/>
      </c>
      <c r="I233" t="str">
        <f>Table1[[#This Row],[Country]]&amp;Table1[[#This Row],[City]]</f>
        <v/>
      </c>
    </row>
    <row r="234" spans="1:9" x14ac:dyDescent="0.2">
      <c r="A234" s="4" t="str">
        <f ca="1">IF(K234="","",TODAY()-Table1[[#This Row],[Last Contacted]])</f>
        <v/>
      </c>
      <c r="B234" s="4" t="str">
        <f>_xlfn.XLOOKUP(Table1[[#This Row],[Contact Tempo]],Tempo[Contact Tempo],Tempo[Time Decay],"Never")</f>
        <v>Never</v>
      </c>
      <c r="H234" t="str">
        <f>IF(ISBLANK(Table1[[#This Row],[City]]),"",IF(AND(Table1[[#This Row],[Country]]=Settings!$A$2, Table1[[#This Row],[City]]=Settings!$B$2),"Yes","No"))</f>
        <v/>
      </c>
      <c r="I234" t="str">
        <f>Table1[[#This Row],[Country]]&amp;Table1[[#This Row],[City]]</f>
        <v/>
      </c>
    </row>
    <row r="235" spans="1:9" x14ac:dyDescent="0.2">
      <c r="A235" s="4" t="str">
        <f ca="1">IF(K235="","",TODAY()-Table1[[#This Row],[Last Contacted]])</f>
        <v/>
      </c>
      <c r="B235" s="4" t="str">
        <f>_xlfn.XLOOKUP(Table1[[#This Row],[Contact Tempo]],Tempo[Contact Tempo],Tempo[Time Decay],"Never")</f>
        <v>Never</v>
      </c>
      <c r="H235" t="str">
        <f>IF(ISBLANK(Table1[[#This Row],[City]]),"",IF(AND(Table1[[#This Row],[Country]]=Settings!$A$2, Table1[[#This Row],[City]]=Settings!$B$2),"Yes","No"))</f>
        <v/>
      </c>
      <c r="I235" t="str">
        <f>Table1[[#This Row],[Country]]&amp;Table1[[#This Row],[City]]</f>
        <v/>
      </c>
    </row>
    <row r="236" spans="1:9" x14ac:dyDescent="0.2">
      <c r="A236" s="4" t="str">
        <f ca="1">IF(K236="","",TODAY()-Table1[[#This Row],[Last Contacted]])</f>
        <v/>
      </c>
      <c r="B236" s="4" t="str">
        <f>_xlfn.XLOOKUP(Table1[[#This Row],[Contact Tempo]],Tempo[Contact Tempo],Tempo[Time Decay],"Never")</f>
        <v>Never</v>
      </c>
      <c r="H236" t="str">
        <f>IF(ISBLANK(Table1[[#This Row],[City]]),"",IF(AND(Table1[[#This Row],[Country]]=Settings!$A$2, Table1[[#This Row],[City]]=Settings!$B$2),"Yes","No"))</f>
        <v/>
      </c>
      <c r="I236" t="str">
        <f>Table1[[#This Row],[Country]]&amp;Table1[[#This Row],[City]]</f>
        <v/>
      </c>
    </row>
    <row r="237" spans="1:9" x14ac:dyDescent="0.2">
      <c r="A237" s="4" t="str">
        <f ca="1">IF(K237="","",TODAY()-Table1[[#This Row],[Last Contacted]])</f>
        <v/>
      </c>
      <c r="B237" s="4" t="str">
        <f>_xlfn.XLOOKUP(Table1[[#This Row],[Contact Tempo]],Tempo[Contact Tempo],Tempo[Time Decay],"Never")</f>
        <v>Never</v>
      </c>
      <c r="H237" t="str">
        <f>IF(ISBLANK(Table1[[#This Row],[City]]),"",IF(AND(Table1[[#This Row],[Country]]=Settings!$A$2, Table1[[#This Row],[City]]=Settings!$B$2),"Yes","No"))</f>
        <v/>
      </c>
      <c r="I237" t="str">
        <f>Table1[[#This Row],[Country]]&amp;Table1[[#This Row],[City]]</f>
        <v/>
      </c>
    </row>
    <row r="238" spans="1:9" x14ac:dyDescent="0.2">
      <c r="A238" s="4" t="str">
        <f ca="1">IF(K238="","",TODAY()-Table1[[#This Row],[Last Contacted]])</f>
        <v/>
      </c>
      <c r="B238" s="4" t="str">
        <f>_xlfn.XLOOKUP(Table1[[#This Row],[Contact Tempo]],Tempo[Contact Tempo],Tempo[Time Decay],"Never")</f>
        <v>Never</v>
      </c>
      <c r="H238" t="str">
        <f>IF(ISBLANK(Table1[[#This Row],[City]]),"",IF(AND(Table1[[#This Row],[Country]]=Settings!$A$2, Table1[[#This Row],[City]]=Settings!$B$2),"Yes","No"))</f>
        <v/>
      </c>
      <c r="I238" t="str">
        <f>Table1[[#This Row],[Country]]&amp;Table1[[#This Row],[City]]</f>
        <v/>
      </c>
    </row>
    <row r="239" spans="1:9" x14ac:dyDescent="0.2">
      <c r="A239" s="4" t="str">
        <f ca="1">IF(K239="","",TODAY()-Table1[[#This Row],[Last Contacted]])</f>
        <v/>
      </c>
      <c r="B239" s="4" t="str">
        <f>_xlfn.XLOOKUP(Table1[[#This Row],[Contact Tempo]],Tempo[Contact Tempo],Tempo[Time Decay],"Never")</f>
        <v>Never</v>
      </c>
      <c r="H239" t="str">
        <f>IF(ISBLANK(Table1[[#This Row],[City]]),"",IF(AND(Table1[[#This Row],[Country]]=Settings!$A$2, Table1[[#This Row],[City]]=Settings!$B$2),"Yes","No"))</f>
        <v/>
      </c>
      <c r="I239" t="str">
        <f>Table1[[#This Row],[Country]]&amp;Table1[[#This Row],[City]]</f>
        <v/>
      </c>
    </row>
    <row r="240" spans="1:9" x14ac:dyDescent="0.2">
      <c r="A240" s="4" t="str">
        <f ca="1">IF(K240="","",TODAY()-Table1[[#This Row],[Last Contacted]])</f>
        <v/>
      </c>
      <c r="B240" s="4" t="str">
        <f>_xlfn.XLOOKUP(Table1[[#This Row],[Contact Tempo]],Tempo[Contact Tempo],Tempo[Time Decay],"Never")</f>
        <v>Never</v>
      </c>
      <c r="H240" t="str">
        <f>IF(ISBLANK(Table1[[#This Row],[City]]),"",IF(AND(Table1[[#This Row],[Country]]=Settings!$A$2, Table1[[#This Row],[City]]=Settings!$B$2),"Yes","No"))</f>
        <v/>
      </c>
      <c r="I240" t="str">
        <f>Table1[[#This Row],[Country]]&amp;Table1[[#This Row],[City]]</f>
        <v/>
      </c>
    </row>
    <row r="241" spans="1:9" x14ac:dyDescent="0.2">
      <c r="A241" s="4" t="str">
        <f ca="1">IF(K241="","",TODAY()-Table1[[#This Row],[Last Contacted]])</f>
        <v/>
      </c>
      <c r="B241" s="4" t="str">
        <f>_xlfn.XLOOKUP(Table1[[#This Row],[Contact Tempo]],Tempo[Contact Tempo],Tempo[Time Decay],"Never")</f>
        <v>Never</v>
      </c>
      <c r="H241" t="str">
        <f>IF(ISBLANK(Table1[[#This Row],[City]]),"",IF(AND(Table1[[#This Row],[Country]]=Settings!$A$2, Table1[[#This Row],[City]]=Settings!$B$2),"Yes","No"))</f>
        <v/>
      </c>
      <c r="I241" t="str">
        <f>Table1[[#This Row],[Country]]&amp;Table1[[#This Row],[City]]</f>
        <v/>
      </c>
    </row>
    <row r="242" spans="1:9" x14ac:dyDescent="0.2">
      <c r="A242" s="4" t="str">
        <f ca="1">IF(K242="","",TODAY()-Table1[[#This Row],[Last Contacted]])</f>
        <v/>
      </c>
      <c r="B242" s="4" t="str">
        <f>_xlfn.XLOOKUP(Table1[[#This Row],[Contact Tempo]],Tempo[Contact Tempo],Tempo[Time Decay],"Never")</f>
        <v>Never</v>
      </c>
      <c r="H242" t="str">
        <f>IF(ISBLANK(Table1[[#This Row],[City]]),"",IF(AND(Table1[[#This Row],[Country]]=Settings!$A$2, Table1[[#This Row],[City]]=Settings!$B$2),"Yes","No"))</f>
        <v/>
      </c>
      <c r="I242" t="str">
        <f>Table1[[#This Row],[Country]]&amp;Table1[[#This Row],[City]]</f>
        <v/>
      </c>
    </row>
    <row r="243" spans="1:9" x14ac:dyDescent="0.2">
      <c r="A243" s="4" t="str">
        <f ca="1">IF(K243="","",TODAY()-Table1[[#This Row],[Last Contacted]])</f>
        <v/>
      </c>
      <c r="B243" s="4" t="str">
        <f>_xlfn.XLOOKUP(Table1[[#This Row],[Contact Tempo]],Tempo[Contact Tempo],Tempo[Time Decay],"Never")</f>
        <v>Never</v>
      </c>
      <c r="H243" t="str">
        <f>IF(ISBLANK(Table1[[#This Row],[City]]),"",IF(AND(Table1[[#This Row],[Country]]=Settings!$A$2, Table1[[#This Row],[City]]=Settings!$B$2),"Yes","No"))</f>
        <v/>
      </c>
      <c r="I243" t="str">
        <f>Table1[[#This Row],[Country]]&amp;Table1[[#This Row],[City]]</f>
        <v/>
      </c>
    </row>
    <row r="244" spans="1:9" x14ac:dyDescent="0.2">
      <c r="A244" s="4" t="str">
        <f ca="1">IF(K244="","",TODAY()-Table1[[#This Row],[Last Contacted]])</f>
        <v/>
      </c>
      <c r="B244" s="4" t="str">
        <f>_xlfn.XLOOKUP(Table1[[#This Row],[Contact Tempo]],Tempo[Contact Tempo],Tempo[Time Decay],"Never")</f>
        <v>Never</v>
      </c>
      <c r="H244" t="str">
        <f>IF(ISBLANK(Table1[[#This Row],[City]]),"",IF(AND(Table1[[#This Row],[Country]]=Settings!$A$2, Table1[[#This Row],[City]]=Settings!$B$2),"Yes","No"))</f>
        <v/>
      </c>
      <c r="I244" t="str">
        <f>Table1[[#This Row],[Country]]&amp;Table1[[#This Row],[City]]</f>
        <v/>
      </c>
    </row>
    <row r="245" spans="1:9" x14ac:dyDescent="0.2">
      <c r="A245" s="4" t="str">
        <f ca="1">IF(K245="","",TODAY()-Table1[[#This Row],[Last Contacted]])</f>
        <v/>
      </c>
      <c r="B245" s="4" t="str">
        <f>_xlfn.XLOOKUP(Table1[[#This Row],[Contact Tempo]],Tempo[Contact Tempo],Tempo[Time Decay],"Never")</f>
        <v>Never</v>
      </c>
      <c r="H245" t="str">
        <f>IF(ISBLANK(Table1[[#This Row],[City]]),"",IF(AND(Table1[[#This Row],[Country]]=Settings!$A$2, Table1[[#This Row],[City]]=Settings!$B$2),"Yes","No"))</f>
        <v/>
      </c>
      <c r="I245" t="str">
        <f>Table1[[#This Row],[Country]]&amp;Table1[[#This Row],[City]]</f>
        <v/>
      </c>
    </row>
    <row r="246" spans="1:9" x14ac:dyDescent="0.2">
      <c r="A246" s="4" t="str">
        <f ca="1">IF(K246="","",TODAY()-Table1[[#This Row],[Last Contacted]])</f>
        <v/>
      </c>
      <c r="B246" s="4" t="str">
        <f>_xlfn.XLOOKUP(Table1[[#This Row],[Contact Tempo]],Tempo[Contact Tempo],Tempo[Time Decay],"Never")</f>
        <v>Never</v>
      </c>
      <c r="H246" t="str">
        <f>IF(ISBLANK(Table1[[#This Row],[City]]),"",IF(AND(Table1[[#This Row],[Country]]=Settings!$A$2, Table1[[#This Row],[City]]=Settings!$B$2),"Yes","No"))</f>
        <v/>
      </c>
      <c r="I246" t="str">
        <f>Table1[[#This Row],[Country]]&amp;Table1[[#This Row],[City]]</f>
        <v/>
      </c>
    </row>
    <row r="247" spans="1:9" x14ac:dyDescent="0.2">
      <c r="A247" s="4" t="str">
        <f ca="1">IF(K247="","",TODAY()-Table1[[#This Row],[Last Contacted]])</f>
        <v/>
      </c>
      <c r="B247" s="4" t="str">
        <f>_xlfn.XLOOKUP(Table1[[#This Row],[Contact Tempo]],Tempo[Contact Tempo],Tempo[Time Decay],"Never")</f>
        <v>Never</v>
      </c>
      <c r="H247" t="str">
        <f>IF(ISBLANK(Table1[[#This Row],[City]]),"",IF(AND(Table1[[#This Row],[Country]]=Settings!$A$2, Table1[[#This Row],[City]]=Settings!$B$2),"Yes","No"))</f>
        <v/>
      </c>
      <c r="I247" t="str">
        <f>Table1[[#This Row],[Country]]&amp;Table1[[#This Row],[City]]</f>
        <v/>
      </c>
    </row>
    <row r="248" spans="1:9" x14ac:dyDescent="0.2">
      <c r="A248" s="4" t="str">
        <f ca="1">IF(K248="","",TODAY()-Table1[[#This Row],[Last Contacted]])</f>
        <v/>
      </c>
      <c r="B248" s="4" t="str">
        <f>_xlfn.XLOOKUP(Table1[[#This Row],[Contact Tempo]],Tempo[Contact Tempo],Tempo[Time Decay],"Never")</f>
        <v>Never</v>
      </c>
      <c r="H248" t="str">
        <f>IF(ISBLANK(Table1[[#This Row],[City]]),"",IF(AND(Table1[[#This Row],[Country]]=Settings!$A$2, Table1[[#This Row],[City]]=Settings!$B$2),"Yes","No"))</f>
        <v/>
      </c>
      <c r="I248" t="str">
        <f>Table1[[#This Row],[Country]]&amp;Table1[[#This Row],[City]]</f>
        <v/>
      </c>
    </row>
    <row r="249" spans="1:9" x14ac:dyDescent="0.2">
      <c r="A249" s="4" t="str">
        <f ca="1">IF(K249="","",TODAY()-Table1[[#This Row],[Last Contacted]])</f>
        <v/>
      </c>
      <c r="B249" s="4" t="str">
        <f>_xlfn.XLOOKUP(Table1[[#This Row],[Contact Tempo]],Tempo[Contact Tempo],Tempo[Time Decay],"Never")</f>
        <v>Never</v>
      </c>
      <c r="H249" t="str">
        <f>IF(ISBLANK(Table1[[#This Row],[City]]),"",IF(AND(Table1[[#This Row],[Country]]=Settings!$A$2, Table1[[#This Row],[City]]=Settings!$B$2),"Yes","No"))</f>
        <v/>
      </c>
      <c r="I249" t="str">
        <f>Table1[[#This Row],[Country]]&amp;Table1[[#This Row],[City]]</f>
        <v/>
      </c>
    </row>
    <row r="250" spans="1:9" x14ac:dyDescent="0.2">
      <c r="A250" s="4" t="str">
        <f ca="1">IF(K250="","",TODAY()-Table1[[#This Row],[Last Contacted]])</f>
        <v/>
      </c>
      <c r="B250" s="4" t="str">
        <f>_xlfn.XLOOKUP(Table1[[#This Row],[Contact Tempo]],Tempo[Contact Tempo],Tempo[Time Decay],"Never")</f>
        <v>Never</v>
      </c>
      <c r="H250" t="str">
        <f>IF(ISBLANK(Table1[[#This Row],[City]]),"",IF(AND(Table1[[#This Row],[Country]]=Settings!$A$2, Table1[[#This Row],[City]]=Settings!$B$2),"Yes","No"))</f>
        <v/>
      </c>
      <c r="I250" t="str">
        <f>Table1[[#This Row],[Country]]&amp;Table1[[#This Row],[City]]</f>
        <v/>
      </c>
    </row>
    <row r="251" spans="1:9" x14ac:dyDescent="0.2">
      <c r="A251" s="4" t="str">
        <f ca="1">IF(K251="","",TODAY()-Table1[[#This Row],[Last Contacted]])</f>
        <v/>
      </c>
      <c r="B251" s="4" t="str">
        <f>_xlfn.XLOOKUP(Table1[[#This Row],[Contact Tempo]],Tempo[Contact Tempo],Tempo[Time Decay],"Never")</f>
        <v>Never</v>
      </c>
      <c r="H251" t="str">
        <f>IF(ISBLANK(Table1[[#This Row],[City]]),"",IF(AND(Table1[[#This Row],[Country]]=Settings!$A$2, Table1[[#This Row],[City]]=Settings!$B$2),"Yes","No"))</f>
        <v/>
      </c>
      <c r="I251" t="str">
        <f>Table1[[#This Row],[Country]]&amp;Table1[[#This Row],[City]]</f>
        <v/>
      </c>
    </row>
    <row r="252" spans="1:9" x14ac:dyDescent="0.2">
      <c r="A252" s="4" t="str">
        <f ca="1">IF(K252="","",TODAY()-Table1[[#This Row],[Last Contacted]])</f>
        <v/>
      </c>
      <c r="B252" s="4" t="str">
        <f>_xlfn.XLOOKUP(Table1[[#This Row],[Contact Tempo]],Tempo[Contact Tempo],Tempo[Time Decay],"Never")</f>
        <v>Never</v>
      </c>
      <c r="H252" t="str">
        <f>IF(ISBLANK(Table1[[#This Row],[City]]),"",IF(AND(Table1[[#This Row],[Country]]=Settings!$A$2, Table1[[#This Row],[City]]=Settings!$B$2),"Yes","No"))</f>
        <v/>
      </c>
      <c r="I252" t="str">
        <f>Table1[[#This Row],[Country]]&amp;Table1[[#This Row],[City]]</f>
        <v/>
      </c>
    </row>
    <row r="253" spans="1:9" x14ac:dyDescent="0.2">
      <c r="A253" s="4" t="str">
        <f ca="1">IF(K253="","",TODAY()-Table1[[#This Row],[Last Contacted]])</f>
        <v/>
      </c>
      <c r="B253" s="4" t="str">
        <f>_xlfn.XLOOKUP(Table1[[#This Row],[Contact Tempo]],Tempo[Contact Tempo],Tempo[Time Decay],"Never")</f>
        <v>Never</v>
      </c>
      <c r="H253" t="str">
        <f>IF(ISBLANK(Table1[[#This Row],[City]]),"",IF(AND(Table1[[#This Row],[Country]]=Settings!$A$2, Table1[[#This Row],[City]]=Settings!$B$2),"Yes","No"))</f>
        <v/>
      </c>
      <c r="I253" t="str">
        <f>Table1[[#This Row],[Country]]&amp;Table1[[#This Row],[City]]</f>
        <v/>
      </c>
    </row>
    <row r="254" spans="1:9" x14ac:dyDescent="0.2">
      <c r="A254" s="4" t="str">
        <f ca="1">IF(K254="","",TODAY()-Table1[[#This Row],[Last Contacted]])</f>
        <v/>
      </c>
      <c r="B254" s="4" t="str">
        <f>_xlfn.XLOOKUP(Table1[[#This Row],[Contact Tempo]],Tempo[Contact Tempo],Tempo[Time Decay],"Never")</f>
        <v>Never</v>
      </c>
      <c r="H254" t="str">
        <f>IF(ISBLANK(Table1[[#This Row],[City]]),"",IF(AND(Table1[[#This Row],[Country]]=Settings!$A$2, Table1[[#This Row],[City]]=Settings!$B$2),"Yes","No"))</f>
        <v/>
      </c>
      <c r="I254" t="str">
        <f>Table1[[#This Row],[Country]]&amp;Table1[[#This Row],[City]]</f>
        <v/>
      </c>
    </row>
    <row r="255" spans="1:9" x14ac:dyDescent="0.2">
      <c r="A255" s="4" t="str">
        <f ca="1">IF(K255="","",TODAY()-Table1[[#This Row],[Last Contacted]])</f>
        <v/>
      </c>
      <c r="B255" s="4" t="str">
        <f>_xlfn.XLOOKUP(Table1[[#This Row],[Contact Tempo]],Tempo[Contact Tempo],Tempo[Time Decay],"Never")</f>
        <v>Never</v>
      </c>
      <c r="H255" t="str">
        <f>IF(ISBLANK(Table1[[#This Row],[City]]),"",IF(AND(Table1[[#This Row],[Country]]=Settings!$A$2, Table1[[#This Row],[City]]=Settings!$B$2),"Yes","No"))</f>
        <v/>
      </c>
      <c r="I255" t="str">
        <f>Table1[[#This Row],[Country]]&amp;Table1[[#This Row],[City]]</f>
        <v/>
      </c>
    </row>
    <row r="256" spans="1:9" x14ac:dyDescent="0.2">
      <c r="A256" s="4" t="str">
        <f ca="1">IF(K256="","",TODAY()-Table1[[#This Row],[Last Contacted]])</f>
        <v/>
      </c>
      <c r="B256" s="4" t="str">
        <f>_xlfn.XLOOKUP(Table1[[#This Row],[Contact Tempo]],Tempo[Contact Tempo],Tempo[Time Decay],"Never")</f>
        <v>Never</v>
      </c>
      <c r="H256" t="str">
        <f>IF(ISBLANK(Table1[[#This Row],[City]]),"",IF(AND(Table1[[#This Row],[Country]]=Settings!$A$2, Table1[[#This Row],[City]]=Settings!$B$2),"Yes","No"))</f>
        <v/>
      </c>
      <c r="I256" t="str">
        <f>Table1[[#This Row],[Country]]&amp;Table1[[#This Row],[City]]</f>
        <v/>
      </c>
    </row>
    <row r="257" spans="1:9" x14ac:dyDescent="0.2">
      <c r="A257" s="4" t="str">
        <f ca="1">IF(K257="","",TODAY()-Table1[[#This Row],[Last Contacted]])</f>
        <v/>
      </c>
      <c r="B257" s="4" t="str">
        <f>_xlfn.XLOOKUP(Table1[[#This Row],[Contact Tempo]],Tempo[Contact Tempo],Tempo[Time Decay],"Never")</f>
        <v>Never</v>
      </c>
      <c r="H257" t="str">
        <f>IF(ISBLANK(Table1[[#This Row],[City]]),"",IF(AND(Table1[[#This Row],[Country]]=Settings!$A$2, Table1[[#This Row],[City]]=Settings!$B$2),"Yes","No"))</f>
        <v/>
      </c>
      <c r="I257" t="str">
        <f>Table1[[#This Row],[Country]]&amp;Table1[[#This Row],[City]]</f>
        <v/>
      </c>
    </row>
    <row r="258" spans="1:9" x14ac:dyDescent="0.2">
      <c r="A258" s="4" t="str">
        <f ca="1">IF(K258="","",TODAY()-Table1[[#This Row],[Last Contacted]])</f>
        <v/>
      </c>
      <c r="B258" s="4" t="str">
        <f>_xlfn.XLOOKUP(Table1[[#This Row],[Contact Tempo]],Tempo[Contact Tempo],Tempo[Time Decay],"Never")</f>
        <v>Never</v>
      </c>
      <c r="H258" t="str">
        <f>IF(ISBLANK(Table1[[#This Row],[City]]),"",IF(AND(Table1[[#This Row],[Country]]=Settings!$A$2, Table1[[#This Row],[City]]=Settings!$B$2),"Yes","No"))</f>
        <v/>
      </c>
      <c r="I258" t="str">
        <f>Table1[[#This Row],[Country]]&amp;Table1[[#This Row],[City]]</f>
        <v/>
      </c>
    </row>
    <row r="259" spans="1:9" x14ac:dyDescent="0.2">
      <c r="A259" s="4" t="str">
        <f ca="1">IF(K259="","",TODAY()-Table1[[#This Row],[Last Contacted]])</f>
        <v/>
      </c>
      <c r="B259" s="4" t="str">
        <f>_xlfn.XLOOKUP(Table1[[#This Row],[Contact Tempo]],Tempo[Contact Tempo],Tempo[Time Decay],"Never")</f>
        <v>Never</v>
      </c>
      <c r="H259" t="str">
        <f>IF(ISBLANK(Table1[[#This Row],[City]]),"",IF(AND(Table1[[#This Row],[Country]]=Settings!$A$2, Table1[[#This Row],[City]]=Settings!$B$2),"Yes","No"))</f>
        <v/>
      </c>
      <c r="I259" t="str">
        <f>Table1[[#This Row],[Country]]&amp;Table1[[#This Row],[City]]</f>
        <v/>
      </c>
    </row>
    <row r="260" spans="1:9" x14ac:dyDescent="0.2">
      <c r="A260" s="4" t="str">
        <f ca="1">IF(K260="","",TODAY()-Table1[[#This Row],[Last Contacted]])</f>
        <v/>
      </c>
      <c r="B260" s="4" t="str">
        <f>_xlfn.XLOOKUP(Table1[[#This Row],[Contact Tempo]],Tempo[Contact Tempo],Tempo[Time Decay],"Never")</f>
        <v>Never</v>
      </c>
      <c r="H260" t="str">
        <f>IF(ISBLANK(Table1[[#This Row],[City]]),"",IF(AND(Table1[[#This Row],[Country]]=Settings!$A$2, Table1[[#This Row],[City]]=Settings!$B$2),"Yes","No"))</f>
        <v/>
      </c>
      <c r="I260" t="str">
        <f>Table1[[#This Row],[Country]]&amp;Table1[[#This Row],[City]]</f>
        <v/>
      </c>
    </row>
    <row r="261" spans="1:9" x14ac:dyDescent="0.2">
      <c r="A261" s="4" t="str">
        <f ca="1">IF(K261="","",TODAY()-Table1[[#This Row],[Last Contacted]])</f>
        <v/>
      </c>
      <c r="B261" s="4" t="str">
        <f>_xlfn.XLOOKUP(Table1[[#This Row],[Contact Tempo]],Tempo[Contact Tempo],Tempo[Time Decay],"Never")</f>
        <v>Never</v>
      </c>
      <c r="H261" t="str">
        <f>IF(ISBLANK(Table1[[#This Row],[City]]),"",IF(AND(Table1[[#This Row],[Country]]=Settings!$A$2, Table1[[#This Row],[City]]=Settings!$B$2),"Yes","No"))</f>
        <v/>
      </c>
      <c r="I261" t="str">
        <f>Table1[[#This Row],[Country]]&amp;Table1[[#This Row],[City]]</f>
        <v/>
      </c>
    </row>
    <row r="262" spans="1:9" x14ac:dyDescent="0.2">
      <c r="A262" s="4" t="str">
        <f ca="1">IF(K262="","",TODAY()-Table1[[#This Row],[Last Contacted]])</f>
        <v/>
      </c>
      <c r="B262" s="4" t="str">
        <f>_xlfn.XLOOKUP(Table1[[#This Row],[Contact Tempo]],Tempo[Contact Tempo],Tempo[Time Decay],"Never")</f>
        <v>Never</v>
      </c>
      <c r="H262" t="str">
        <f>IF(ISBLANK(Table1[[#This Row],[City]]),"",IF(AND(Table1[[#This Row],[Country]]=Settings!$A$2, Table1[[#This Row],[City]]=Settings!$B$2),"Yes","No"))</f>
        <v/>
      </c>
      <c r="I262" t="str">
        <f>Table1[[#This Row],[Country]]&amp;Table1[[#This Row],[City]]</f>
        <v/>
      </c>
    </row>
    <row r="263" spans="1:9" x14ac:dyDescent="0.2">
      <c r="A263" s="4" t="str">
        <f ca="1">IF(K263="","",TODAY()-Table1[[#This Row],[Last Contacted]])</f>
        <v/>
      </c>
      <c r="B263" s="4" t="str">
        <f>_xlfn.XLOOKUP(Table1[[#This Row],[Contact Tempo]],Tempo[Contact Tempo],Tempo[Time Decay],"Never")</f>
        <v>Never</v>
      </c>
      <c r="H263" t="str">
        <f>IF(ISBLANK(Table1[[#This Row],[City]]),"",IF(AND(Table1[[#This Row],[Country]]=Settings!$A$2, Table1[[#This Row],[City]]=Settings!$B$2),"Yes","No"))</f>
        <v/>
      </c>
      <c r="I263" t="str">
        <f>Table1[[#This Row],[Country]]&amp;Table1[[#This Row],[City]]</f>
        <v/>
      </c>
    </row>
    <row r="264" spans="1:9" x14ac:dyDescent="0.2">
      <c r="A264" s="4" t="str">
        <f ca="1">IF(K264="","",TODAY()-Table1[[#This Row],[Last Contacted]])</f>
        <v/>
      </c>
      <c r="B264" s="4" t="str">
        <f>_xlfn.XLOOKUP(Table1[[#This Row],[Contact Tempo]],Tempo[Contact Tempo],Tempo[Time Decay],"Never")</f>
        <v>Never</v>
      </c>
      <c r="H264" t="str">
        <f>IF(ISBLANK(Table1[[#This Row],[City]]),"",IF(AND(Table1[[#This Row],[Country]]=Settings!$A$2, Table1[[#This Row],[City]]=Settings!$B$2),"Yes","No"))</f>
        <v/>
      </c>
      <c r="I264" t="str">
        <f>Table1[[#This Row],[Country]]&amp;Table1[[#This Row],[City]]</f>
        <v/>
      </c>
    </row>
    <row r="265" spans="1:9" x14ac:dyDescent="0.2">
      <c r="A265" s="4" t="str">
        <f ca="1">IF(K265="","",TODAY()-Table1[[#This Row],[Last Contacted]])</f>
        <v/>
      </c>
      <c r="B265" s="4" t="str">
        <f>_xlfn.XLOOKUP(Table1[[#This Row],[Contact Tempo]],Tempo[Contact Tempo],Tempo[Time Decay],"Never")</f>
        <v>Never</v>
      </c>
      <c r="H265" t="str">
        <f>IF(ISBLANK(Table1[[#This Row],[City]]),"",IF(AND(Table1[[#This Row],[Country]]=Settings!$A$2, Table1[[#This Row],[City]]=Settings!$B$2),"Yes","No"))</f>
        <v/>
      </c>
      <c r="I265" t="str">
        <f>Table1[[#This Row],[Country]]&amp;Table1[[#This Row],[City]]</f>
        <v/>
      </c>
    </row>
    <row r="266" spans="1:9" x14ac:dyDescent="0.2">
      <c r="A266" s="4" t="str">
        <f ca="1">IF(K266="","",TODAY()-Table1[[#This Row],[Last Contacted]])</f>
        <v/>
      </c>
      <c r="B266" s="4" t="str">
        <f>_xlfn.XLOOKUP(Table1[[#This Row],[Contact Tempo]],Tempo[Contact Tempo],Tempo[Time Decay],"Never")</f>
        <v>Never</v>
      </c>
      <c r="H266" t="str">
        <f>IF(ISBLANK(Table1[[#This Row],[City]]),"",IF(AND(Table1[[#This Row],[Country]]=Settings!$A$2, Table1[[#This Row],[City]]=Settings!$B$2),"Yes","No"))</f>
        <v/>
      </c>
      <c r="I266" t="str">
        <f>Table1[[#This Row],[Country]]&amp;Table1[[#This Row],[City]]</f>
        <v/>
      </c>
    </row>
    <row r="267" spans="1:9" x14ac:dyDescent="0.2">
      <c r="A267" s="4" t="str">
        <f ca="1">IF(K267="","",TODAY()-Table1[[#This Row],[Last Contacted]])</f>
        <v/>
      </c>
      <c r="B267" s="4" t="str">
        <f>_xlfn.XLOOKUP(Table1[[#This Row],[Contact Tempo]],Tempo[Contact Tempo],Tempo[Time Decay],"Never")</f>
        <v>Never</v>
      </c>
      <c r="H267" t="str">
        <f>IF(ISBLANK(Table1[[#This Row],[City]]),"",IF(AND(Table1[[#This Row],[Country]]=Settings!$A$2, Table1[[#This Row],[City]]=Settings!$B$2),"Yes","No"))</f>
        <v/>
      </c>
      <c r="I267" t="str">
        <f>Table1[[#This Row],[Country]]&amp;Table1[[#This Row],[City]]</f>
        <v/>
      </c>
    </row>
    <row r="268" spans="1:9" x14ac:dyDescent="0.2">
      <c r="A268" s="4" t="str">
        <f ca="1">IF(K268="","",TODAY()-Table1[[#This Row],[Last Contacted]])</f>
        <v/>
      </c>
      <c r="B268" s="4" t="str">
        <f>_xlfn.XLOOKUP(Table1[[#This Row],[Contact Tempo]],Tempo[Contact Tempo],Tempo[Time Decay],"Never")</f>
        <v>Never</v>
      </c>
      <c r="H268" t="str">
        <f>IF(ISBLANK(Table1[[#This Row],[City]]),"",IF(AND(Table1[[#This Row],[Country]]=Settings!$A$2, Table1[[#This Row],[City]]=Settings!$B$2),"Yes","No"))</f>
        <v/>
      </c>
      <c r="I268" t="str">
        <f>Table1[[#This Row],[Country]]&amp;Table1[[#This Row],[City]]</f>
        <v/>
      </c>
    </row>
    <row r="269" spans="1:9" x14ac:dyDescent="0.2">
      <c r="A269" s="4" t="str">
        <f ca="1">IF(K269="","",TODAY()-Table1[[#This Row],[Last Contacted]])</f>
        <v/>
      </c>
      <c r="B269" s="4" t="str">
        <f>_xlfn.XLOOKUP(Table1[[#This Row],[Contact Tempo]],Tempo[Contact Tempo],Tempo[Time Decay],"Never")</f>
        <v>Never</v>
      </c>
      <c r="H269" t="str">
        <f>IF(ISBLANK(Table1[[#This Row],[City]]),"",IF(AND(Table1[[#This Row],[Country]]=Settings!$A$2, Table1[[#This Row],[City]]=Settings!$B$2),"Yes","No"))</f>
        <v/>
      </c>
      <c r="I269" t="str">
        <f>Table1[[#This Row],[Country]]&amp;Table1[[#This Row],[City]]</f>
        <v/>
      </c>
    </row>
    <row r="270" spans="1:9" x14ac:dyDescent="0.2">
      <c r="A270" s="4" t="str">
        <f ca="1">IF(K270="","",TODAY()-Table1[[#This Row],[Last Contacted]])</f>
        <v/>
      </c>
      <c r="B270" s="4" t="str">
        <f>_xlfn.XLOOKUP(Table1[[#This Row],[Contact Tempo]],Tempo[Contact Tempo],Tempo[Time Decay],"Never")</f>
        <v>Never</v>
      </c>
      <c r="H270" t="str">
        <f>IF(ISBLANK(Table1[[#This Row],[City]]),"",IF(AND(Table1[[#This Row],[Country]]=Settings!$A$2, Table1[[#This Row],[City]]=Settings!$B$2),"Yes","No"))</f>
        <v/>
      </c>
      <c r="I270" t="str">
        <f>Table1[[#This Row],[Country]]&amp;Table1[[#This Row],[City]]</f>
        <v/>
      </c>
    </row>
    <row r="271" spans="1:9" x14ac:dyDescent="0.2">
      <c r="A271" s="4" t="str">
        <f ca="1">IF(K271="","",TODAY()-Table1[[#This Row],[Last Contacted]])</f>
        <v/>
      </c>
      <c r="B271" s="4" t="str">
        <f>_xlfn.XLOOKUP(Table1[[#This Row],[Contact Tempo]],Tempo[Contact Tempo],Tempo[Time Decay],"Never")</f>
        <v>Never</v>
      </c>
      <c r="H271" t="str">
        <f>IF(ISBLANK(Table1[[#This Row],[City]]),"",IF(AND(Table1[[#This Row],[Country]]=Settings!$A$2, Table1[[#This Row],[City]]=Settings!$B$2),"Yes","No"))</f>
        <v/>
      </c>
      <c r="I271" t="str">
        <f>Table1[[#This Row],[Country]]&amp;Table1[[#This Row],[City]]</f>
        <v/>
      </c>
    </row>
    <row r="272" spans="1:9" x14ac:dyDescent="0.2">
      <c r="A272" s="4" t="str">
        <f ca="1">IF(K272="","",TODAY()-Table1[[#This Row],[Last Contacted]])</f>
        <v/>
      </c>
      <c r="B272" s="4" t="str">
        <f>_xlfn.XLOOKUP(Table1[[#This Row],[Contact Tempo]],Tempo[Contact Tempo],Tempo[Time Decay],"Never")</f>
        <v>Never</v>
      </c>
      <c r="H272" t="str">
        <f>IF(ISBLANK(Table1[[#This Row],[City]]),"",IF(AND(Table1[[#This Row],[Country]]=Settings!$A$2, Table1[[#This Row],[City]]=Settings!$B$2),"Yes","No"))</f>
        <v/>
      </c>
      <c r="I272" t="str">
        <f>Table1[[#This Row],[Country]]&amp;Table1[[#This Row],[City]]</f>
        <v/>
      </c>
    </row>
    <row r="273" spans="1:9" x14ac:dyDescent="0.2">
      <c r="A273" s="4" t="str">
        <f ca="1">IF(K273="","",TODAY()-Table1[[#This Row],[Last Contacted]])</f>
        <v/>
      </c>
      <c r="B273" s="4" t="str">
        <f>_xlfn.XLOOKUP(Table1[[#This Row],[Contact Tempo]],Tempo[Contact Tempo],Tempo[Time Decay],"Never")</f>
        <v>Never</v>
      </c>
      <c r="H273" t="str">
        <f>IF(ISBLANK(Table1[[#This Row],[City]]),"",IF(AND(Table1[[#This Row],[Country]]=Settings!$A$2, Table1[[#This Row],[City]]=Settings!$B$2),"Yes","No"))</f>
        <v/>
      </c>
      <c r="I273" t="str">
        <f>Table1[[#This Row],[Country]]&amp;Table1[[#This Row],[City]]</f>
        <v/>
      </c>
    </row>
    <row r="274" spans="1:9" x14ac:dyDescent="0.2">
      <c r="A274" s="4" t="str">
        <f ca="1">IF(K274="","",TODAY()-Table1[[#This Row],[Last Contacted]])</f>
        <v/>
      </c>
      <c r="B274" s="4" t="str">
        <f>_xlfn.XLOOKUP(Table1[[#This Row],[Contact Tempo]],Tempo[Contact Tempo],Tempo[Time Decay],"Never")</f>
        <v>Never</v>
      </c>
      <c r="H274" t="str">
        <f>IF(ISBLANK(Table1[[#This Row],[City]]),"",IF(AND(Table1[[#This Row],[Country]]=Settings!$A$2, Table1[[#This Row],[City]]=Settings!$B$2),"Yes","No"))</f>
        <v/>
      </c>
      <c r="I274" t="str">
        <f>Table1[[#This Row],[Country]]&amp;Table1[[#This Row],[City]]</f>
        <v/>
      </c>
    </row>
    <row r="275" spans="1:9" x14ac:dyDescent="0.2">
      <c r="A275" s="4" t="str">
        <f ca="1">IF(K275="","",TODAY()-Table1[[#This Row],[Last Contacted]])</f>
        <v/>
      </c>
      <c r="B275" s="4" t="str">
        <f>_xlfn.XLOOKUP(Table1[[#This Row],[Contact Tempo]],Tempo[Contact Tempo],Tempo[Time Decay],"Never")</f>
        <v>Never</v>
      </c>
      <c r="H275" t="str">
        <f>IF(ISBLANK(Table1[[#This Row],[City]]),"",IF(AND(Table1[[#This Row],[Country]]=Settings!$A$2, Table1[[#This Row],[City]]=Settings!$B$2),"Yes","No"))</f>
        <v/>
      </c>
      <c r="I275" t="str">
        <f>Table1[[#This Row],[Country]]&amp;Table1[[#This Row],[City]]</f>
        <v/>
      </c>
    </row>
    <row r="276" spans="1:9" x14ac:dyDescent="0.2">
      <c r="A276" s="4" t="str">
        <f ca="1">IF(K276="","",TODAY()-Table1[[#This Row],[Last Contacted]])</f>
        <v/>
      </c>
      <c r="B276" s="4" t="str">
        <f>_xlfn.XLOOKUP(Table1[[#This Row],[Contact Tempo]],Tempo[Contact Tempo],Tempo[Time Decay],"Never")</f>
        <v>Never</v>
      </c>
      <c r="H276" t="str">
        <f>IF(ISBLANK(Table1[[#This Row],[City]]),"",IF(AND(Table1[[#This Row],[Country]]=Settings!$A$2, Table1[[#This Row],[City]]=Settings!$B$2),"Yes","No"))</f>
        <v/>
      </c>
      <c r="I276" t="str">
        <f>Table1[[#This Row],[Country]]&amp;Table1[[#This Row],[City]]</f>
        <v/>
      </c>
    </row>
    <row r="277" spans="1:9" x14ac:dyDescent="0.2">
      <c r="A277" s="4" t="str">
        <f ca="1">IF(K277="","",TODAY()-Table1[[#This Row],[Last Contacted]])</f>
        <v/>
      </c>
      <c r="B277" s="4" t="str">
        <f>_xlfn.XLOOKUP(Table1[[#This Row],[Contact Tempo]],Tempo[Contact Tempo],Tempo[Time Decay],"Never")</f>
        <v>Never</v>
      </c>
      <c r="H277" t="str">
        <f>IF(ISBLANK(Table1[[#This Row],[City]]),"",IF(AND(Table1[[#This Row],[Country]]=Settings!$A$2, Table1[[#This Row],[City]]=Settings!$B$2),"Yes","No"))</f>
        <v/>
      </c>
      <c r="I277" t="str">
        <f>Table1[[#This Row],[Country]]&amp;Table1[[#This Row],[City]]</f>
        <v/>
      </c>
    </row>
    <row r="278" spans="1:9" x14ac:dyDescent="0.2">
      <c r="A278" s="4" t="str">
        <f ca="1">IF(K278="","",TODAY()-Table1[[#This Row],[Last Contacted]])</f>
        <v/>
      </c>
      <c r="B278" s="4" t="str">
        <f>_xlfn.XLOOKUP(Table1[[#This Row],[Contact Tempo]],Tempo[Contact Tempo],Tempo[Time Decay],"Never")</f>
        <v>Never</v>
      </c>
      <c r="H278" t="str">
        <f>IF(ISBLANK(Table1[[#This Row],[City]]),"",IF(AND(Table1[[#This Row],[Country]]=Settings!$A$2, Table1[[#This Row],[City]]=Settings!$B$2),"Yes","No"))</f>
        <v/>
      </c>
      <c r="I278" t="str">
        <f>Table1[[#This Row],[Country]]&amp;Table1[[#This Row],[City]]</f>
        <v/>
      </c>
    </row>
    <row r="279" spans="1:9" x14ac:dyDescent="0.2">
      <c r="A279" s="4" t="str">
        <f ca="1">IF(K279="","",TODAY()-Table1[[#This Row],[Last Contacted]])</f>
        <v/>
      </c>
      <c r="B279" s="4" t="str">
        <f>_xlfn.XLOOKUP(Table1[[#This Row],[Contact Tempo]],Tempo[Contact Tempo],Tempo[Time Decay],"Never")</f>
        <v>Never</v>
      </c>
      <c r="H279" t="str">
        <f>IF(ISBLANK(Table1[[#This Row],[City]]),"",IF(AND(Table1[[#This Row],[Country]]=Settings!$A$2, Table1[[#This Row],[City]]=Settings!$B$2),"Yes","No"))</f>
        <v/>
      </c>
      <c r="I279" t="str">
        <f>Table1[[#This Row],[Country]]&amp;Table1[[#This Row],[City]]</f>
        <v/>
      </c>
    </row>
    <row r="280" spans="1:9" x14ac:dyDescent="0.2">
      <c r="A280" s="4" t="str">
        <f ca="1">IF(K280="","",TODAY()-Table1[[#This Row],[Last Contacted]])</f>
        <v/>
      </c>
      <c r="B280" s="4" t="str">
        <f>_xlfn.XLOOKUP(Table1[[#This Row],[Contact Tempo]],Tempo[Contact Tempo],Tempo[Time Decay],"Never")</f>
        <v>Never</v>
      </c>
      <c r="H280" t="str">
        <f>IF(ISBLANK(Table1[[#This Row],[City]]),"",IF(AND(Table1[[#This Row],[Country]]=Settings!$A$2, Table1[[#This Row],[City]]=Settings!$B$2),"Yes","No"))</f>
        <v/>
      </c>
      <c r="I280" t="str">
        <f>Table1[[#This Row],[Country]]&amp;Table1[[#This Row],[City]]</f>
        <v/>
      </c>
    </row>
    <row r="281" spans="1:9" x14ac:dyDescent="0.2">
      <c r="A281" s="4" t="str">
        <f ca="1">IF(K281="","",TODAY()-Table1[[#This Row],[Last Contacted]])</f>
        <v/>
      </c>
      <c r="B281" s="4" t="str">
        <f>_xlfn.XLOOKUP(Table1[[#This Row],[Contact Tempo]],Tempo[Contact Tempo],Tempo[Time Decay],"Never")</f>
        <v>Never</v>
      </c>
      <c r="H281" t="str">
        <f>IF(ISBLANK(Table1[[#This Row],[City]]),"",IF(AND(Table1[[#This Row],[Country]]=Settings!$A$2, Table1[[#This Row],[City]]=Settings!$B$2),"Yes","No"))</f>
        <v/>
      </c>
      <c r="I281" t="str">
        <f>Table1[[#This Row],[Country]]&amp;Table1[[#This Row],[City]]</f>
        <v/>
      </c>
    </row>
    <row r="282" spans="1:9" x14ac:dyDescent="0.2">
      <c r="A282" s="4" t="str">
        <f ca="1">IF(K282="","",TODAY()-Table1[[#This Row],[Last Contacted]])</f>
        <v/>
      </c>
      <c r="B282" s="4" t="str">
        <f>_xlfn.XLOOKUP(Table1[[#This Row],[Contact Tempo]],Tempo[Contact Tempo],Tempo[Time Decay],"Never")</f>
        <v>Never</v>
      </c>
      <c r="H282" t="str">
        <f>IF(ISBLANK(Table1[[#This Row],[City]]),"",IF(AND(Table1[[#This Row],[Country]]=Settings!$A$2, Table1[[#This Row],[City]]=Settings!$B$2),"Yes","No"))</f>
        <v/>
      </c>
      <c r="I282" t="str">
        <f>Table1[[#This Row],[Country]]&amp;Table1[[#This Row],[City]]</f>
        <v/>
      </c>
    </row>
    <row r="283" spans="1:9" x14ac:dyDescent="0.2">
      <c r="A283" s="4" t="str">
        <f ca="1">IF(K283="","",TODAY()-Table1[[#This Row],[Last Contacted]])</f>
        <v/>
      </c>
      <c r="B283" s="4" t="str">
        <f>_xlfn.XLOOKUP(Table1[[#This Row],[Contact Tempo]],Tempo[Contact Tempo],Tempo[Time Decay],"Never")</f>
        <v>Never</v>
      </c>
      <c r="H283" t="str">
        <f>IF(ISBLANK(Table1[[#This Row],[City]]),"",IF(AND(Table1[[#This Row],[Country]]=Settings!$A$2, Table1[[#This Row],[City]]=Settings!$B$2),"Yes","No"))</f>
        <v/>
      </c>
      <c r="I283" t="str">
        <f>Table1[[#This Row],[Country]]&amp;Table1[[#This Row],[City]]</f>
        <v/>
      </c>
    </row>
    <row r="284" spans="1:9" x14ac:dyDescent="0.2">
      <c r="A284" s="4" t="str">
        <f ca="1">IF(K284="","",TODAY()-Table1[[#This Row],[Last Contacted]])</f>
        <v/>
      </c>
      <c r="B284" s="4" t="str">
        <f>_xlfn.XLOOKUP(Table1[[#This Row],[Contact Tempo]],Tempo[Contact Tempo],Tempo[Time Decay],"Never")</f>
        <v>Never</v>
      </c>
      <c r="H284" t="str">
        <f>IF(ISBLANK(Table1[[#This Row],[City]]),"",IF(AND(Table1[[#This Row],[Country]]=Settings!$A$2, Table1[[#This Row],[City]]=Settings!$B$2),"Yes","No"))</f>
        <v/>
      </c>
      <c r="I284" t="str">
        <f>Table1[[#This Row],[Country]]&amp;Table1[[#This Row],[City]]</f>
        <v/>
      </c>
    </row>
    <row r="285" spans="1:9" x14ac:dyDescent="0.2">
      <c r="A285" s="4" t="str">
        <f ca="1">IF(K285="","",TODAY()-Table1[[#This Row],[Last Contacted]])</f>
        <v/>
      </c>
      <c r="B285" s="4" t="str">
        <f>_xlfn.XLOOKUP(Table1[[#This Row],[Contact Tempo]],Tempo[Contact Tempo],Tempo[Time Decay],"Never")</f>
        <v>Never</v>
      </c>
      <c r="H285" t="str">
        <f>IF(ISBLANK(Table1[[#This Row],[City]]),"",IF(AND(Table1[[#This Row],[Country]]=Settings!$A$2, Table1[[#This Row],[City]]=Settings!$B$2),"Yes","No"))</f>
        <v/>
      </c>
      <c r="I285" t="str">
        <f>Table1[[#This Row],[Country]]&amp;Table1[[#This Row],[City]]</f>
        <v/>
      </c>
    </row>
    <row r="286" spans="1:9" x14ac:dyDescent="0.2">
      <c r="A286" s="4" t="str">
        <f ca="1">IF(K286="","",TODAY()-Table1[[#This Row],[Last Contacted]])</f>
        <v/>
      </c>
      <c r="B286" s="4" t="str">
        <f>_xlfn.XLOOKUP(Table1[[#This Row],[Contact Tempo]],Tempo[Contact Tempo],Tempo[Time Decay],"Never")</f>
        <v>Never</v>
      </c>
      <c r="H286" t="str">
        <f>IF(ISBLANK(Table1[[#This Row],[City]]),"",IF(AND(Table1[[#This Row],[Country]]=Settings!$A$2, Table1[[#This Row],[City]]=Settings!$B$2),"Yes","No"))</f>
        <v/>
      </c>
      <c r="I286" t="str">
        <f>Table1[[#This Row],[Country]]&amp;Table1[[#This Row],[City]]</f>
        <v/>
      </c>
    </row>
    <row r="287" spans="1:9" x14ac:dyDescent="0.2">
      <c r="A287" s="4" t="str">
        <f ca="1">IF(K287="","",TODAY()-Table1[[#This Row],[Last Contacted]])</f>
        <v/>
      </c>
      <c r="B287" s="4" t="str">
        <f>_xlfn.XLOOKUP(Table1[[#This Row],[Contact Tempo]],Tempo[Contact Tempo],Tempo[Time Decay],"Never")</f>
        <v>Never</v>
      </c>
      <c r="H287" t="str">
        <f>IF(ISBLANK(Table1[[#This Row],[City]]),"",IF(AND(Table1[[#This Row],[Country]]=Settings!$A$2, Table1[[#This Row],[City]]=Settings!$B$2),"Yes","No"))</f>
        <v/>
      </c>
      <c r="I287" t="str">
        <f>Table1[[#This Row],[Country]]&amp;Table1[[#This Row],[City]]</f>
        <v/>
      </c>
    </row>
    <row r="288" spans="1:9" x14ac:dyDescent="0.2">
      <c r="A288" s="4" t="str">
        <f ca="1">IF(K288="","",TODAY()-Table1[[#This Row],[Last Contacted]])</f>
        <v/>
      </c>
      <c r="B288" s="4" t="str">
        <f>_xlfn.XLOOKUP(Table1[[#This Row],[Contact Tempo]],Tempo[Contact Tempo],Tempo[Time Decay],"Never")</f>
        <v>Never</v>
      </c>
      <c r="H288" t="str">
        <f>IF(ISBLANK(Table1[[#This Row],[City]]),"",IF(AND(Table1[[#This Row],[Country]]=Settings!$A$2, Table1[[#This Row],[City]]=Settings!$B$2),"Yes","No"))</f>
        <v/>
      </c>
      <c r="I288" t="str">
        <f>Table1[[#This Row],[Country]]&amp;Table1[[#This Row],[City]]</f>
        <v/>
      </c>
    </row>
    <row r="289" spans="1:9" x14ac:dyDescent="0.2">
      <c r="A289" s="4" t="str">
        <f ca="1">IF(K289="","",TODAY()-Table1[[#This Row],[Last Contacted]])</f>
        <v/>
      </c>
      <c r="B289" s="4" t="str">
        <f>_xlfn.XLOOKUP(Table1[[#This Row],[Contact Tempo]],Tempo[Contact Tempo],Tempo[Time Decay],"Never")</f>
        <v>Never</v>
      </c>
      <c r="H289" t="str">
        <f>IF(ISBLANK(Table1[[#This Row],[City]]),"",IF(AND(Table1[[#This Row],[Country]]=Settings!$A$2, Table1[[#This Row],[City]]=Settings!$B$2),"Yes","No"))</f>
        <v/>
      </c>
      <c r="I289" t="str">
        <f>Table1[[#This Row],[Country]]&amp;Table1[[#This Row],[City]]</f>
        <v/>
      </c>
    </row>
    <row r="290" spans="1:9" x14ac:dyDescent="0.2">
      <c r="A290" s="4" t="str">
        <f ca="1">IF(K290="","",TODAY()-Table1[[#This Row],[Last Contacted]])</f>
        <v/>
      </c>
      <c r="B290" s="4" t="str">
        <f>_xlfn.XLOOKUP(Table1[[#This Row],[Contact Tempo]],Tempo[Contact Tempo],Tempo[Time Decay],"Never")</f>
        <v>Never</v>
      </c>
      <c r="H290" t="str">
        <f>IF(ISBLANK(Table1[[#This Row],[City]]),"",IF(AND(Table1[[#This Row],[Country]]=Settings!$A$2, Table1[[#This Row],[City]]=Settings!$B$2),"Yes","No"))</f>
        <v/>
      </c>
      <c r="I290" t="str">
        <f>Table1[[#This Row],[Country]]&amp;Table1[[#This Row],[City]]</f>
        <v/>
      </c>
    </row>
    <row r="291" spans="1:9" x14ac:dyDescent="0.2">
      <c r="A291" s="4" t="str">
        <f ca="1">IF(K291="","",TODAY()-Table1[[#This Row],[Last Contacted]])</f>
        <v/>
      </c>
      <c r="B291" s="4" t="str">
        <f>_xlfn.XLOOKUP(Table1[[#This Row],[Contact Tempo]],Tempo[Contact Tempo],Tempo[Time Decay],"Never")</f>
        <v>Never</v>
      </c>
      <c r="H291" t="str">
        <f>IF(ISBLANK(Table1[[#This Row],[City]]),"",IF(AND(Table1[[#This Row],[Country]]=Settings!$A$2, Table1[[#This Row],[City]]=Settings!$B$2),"Yes","No"))</f>
        <v/>
      </c>
      <c r="I291" t="str">
        <f>Table1[[#This Row],[Country]]&amp;Table1[[#This Row],[City]]</f>
        <v/>
      </c>
    </row>
    <row r="292" spans="1:9" x14ac:dyDescent="0.2">
      <c r="A292" s="4" t="str">
        <f ca="1">IF(K292="","",TODAY()-Table1[[#This Row],[Last Contacted]])</f>
        <v/>
      </c>
      <c r="B292" s="4" t="str">
        <f>_xlfn.XLOOKUP(Table1[[#This Row],[Contact Tempo]],Tempo[Contact Tempo],Tempo[Time Decay],"Never")</f>
        <v>Never</v>
      </c>
      <c r="H292" t="str">
        <f>IF(ISBLANK(Table1[[#This Row],[City]]),"",IF(AND(Table1[[#This Row],[Country]]=Settings!$A$2, Table1[[#This Row],[City]]=Settings!$B$2),"Yes","No"))</f>
        <v/>
      </c>
      <c r="I292" t="str">
        <f>Table1[[#This Row],[Country]]&amp;Table1[[#This Row],[City]]</f>
        <v/>
      </c>
    </row>
    <row r="293" spans="1:9" x14ac:dyDescent="0.2">
      <c r="A293" s="4" t="str">
        <f ca="1">IF(K293="","",TODAY()-Table1[[#This Row],[Last Contacted]])</f>
        <v/>
      </c>
      <c r="B293" s="4" t="str">
        <f>_xlfn.XLOOKUP(Table1[[#This Row],[Contact Tempo]],Tempo[Contact Tempo],Tempo[Time Decay],"Never")</f>
        <v>Never</v>
      </c>
      <c r="H293" t="str">
        <f>IF(ISBLANK(Table1[[#This Row],[City]]),"",IF(AND(Table1[[#This Row],[Country]]=Settings!$A$2, Table1[[#This Row],[City]]=Settings!$B$2),"Yes","No"))</f>
        <v/>
      </c>
      <c r="I293" t="str">
        <f>Table1[[#This Row],[Country]]&amp;Table1[[#This Row],[City]]</f>
        <v/>
      </c>
    </row>
    <row r="294" spans="1:9" x14ac:dyDescent="0.2">
      <c r="A294" s="4" t="str">
        <f ca="1">IF(K294="","",TODAY()-Table1[[#This Row],[Last Contacted]])</f>
        <v/>
      </c>
      <c r="B294" s="4" t="str">
        <f>_xlfn.XLOOKUP(Table1[[#This Row],[Contact Tempo]],Tempo[Contact Tempo],Tempo[Time Decay],"Never")</f>
        <v>Never</v>
      </c>
      <c r="H294" t="str">
        <f>IF(ISBLANK(Table1[[#This Row],[City]]),"",IF(AND(Table1[[#This Row],[Country]]=Settings!$A$2, Table1[[#This Row],[City]]=Settings!$B$2),"Yes","No"))</f>
        <v/>
      </c>
      <c r="I294" t="str">
        <f>Table1[[#This Row],[Country]]&amp;Table1[[#This Row],[City]]</f>
        <v/>
      </c>
    </row>
    <row r="295" spans="1:9" x14ac:dyDescent="0.2">
      <c r="A295" s="4" t="str">
        <f ca="1">IF(K295="","",TODAY()-Table1[[#This Row],[Last Contacted]])</f>
        <v/>
      </c>
      <c r="B295" s="4" t="str">
        <f>_xlfn.XLOOKUP(Table1[[#This Row],[Contact Tempo]],Tempo[Contact Tempo],Tempo[Time Decay],"Never")</f>
        <v>Never</v>
      </c>
      <c r="H295" t="str">
        <f>IF(ISBLANK(Table1[[#This Row],[City]]),"",IF(AND(Table1[[#This Row],[Country]]=Settings!$A$2, Table1[[#This Row],[City]]=Settings!$B$2),"Yes","No"))</f>
        <v/>
      </c>
      <c r="I295" t="str">
        <f>Table1[[#This Row],[Country]]&amp;Table1[[#This Row],[City]]</f>
        <v/>
      </c>
    </row>
    <row r="296" spans="1:9" x14ac:dyDescent="0.2">
      <c r="A296" s="4" t="str">
        <f ca="1">IF(K296="","",TODAY()-Table1[[#This Row],[Last Contacted]])</f>
        <v/>
      </c>
      <c r="B296" s="4" t="str">
        <f>_xlfn.XLOOKUP(Table1[[#This Row],[Contact Tempo]],Tempo[Contact Tempo],Tempo[Time Decay],"Never")</f>
        <v>Never</v>
      </c>
      <c r="H296" t="str">
        <f>IF(ISBLANK(Table1[[#This Row],[City]]),"",IF(AND(Table1[[#This Row],[Country]]=Settings!$A$2, Table1[[#This Row],[City]]=Settings!$B$2),"Yes","No"))</f>
        <v/>
      </c>
      <c r="I296" t="str">
        <f>Table1[[#This Row],[Country]]&amp;Table1[[#This Row],[City]]</f>
        <v/>
      </c>
    </row>
    <row r="297" spans="1:9" x14ac:dyDescent="0.2">
      <c r="A297" s="4" t="str">
        <f ca="1">IF(K297="","",TODAY()-Table1[[#This Row],[Last Contacted]])</f>
        <v/>
      </c>
      <c r="B297" s="4" t="str">
        <f>_xlfn.XLOOKUP(Table1[[#This Row],[Contact Tempo]],Tempo[Contact Tempo],Tempo[Time Decay],"Never")</f>
        <v>Never</v>
      </c>
      <c r="H297" t="str">
        <f>IF(ISBLANK(Table1[[#This Row],[City]]),"",IF(AND(Table1[[#This Row],[Country]]=Settings!$A$2, Table1[[#This Row],[City]]=Settings!$B$2),"Yes","No"))</f>
        <v/>
      </c>
      <c r="I297" t="str">
        <f>Table1[[#This Row],[Country]]&amp;Table1[[#This Row],[City]]</f>
        <v/>
      </c>
    </row>
    <row r="298" spans="1:9" x14ac:dyDescent="0.2">
      <c r="A298" s="4" t="str">
        <f ca="1">IF(K298="","",TODAY()-Table1[[#This Row],[Last Contacted]])</f>
        <v/>
      </c>
      <c r="B298" s="4" t="str">
        <f>_xlfn.XLOOKUP(Table1[[#This Row],[Contact Tempo]],Tempo[Contact Tempo],Tempo[Time Decay],"Never")</f>
        <v>Never</v>
      </c>
      <c r="H298" t="str">
        <f>IF(ISBLANK(Table1[[#This Row],[City]]),"",IF(AND(Table1[[#This Row],[Country]]=Settings!$A$2, Table1[[#This Row],[City]]=Settings!$B$2),"Yes","No"))</f>
        <v/>
      </c>
      <c r="I298" t="str">
        <f>Table1[[#This Row],[Country]]&amp;Table1[[#This Row],[City]]</f>
        <v/>
      </c>
    </row>
    <row r="299" spans="1:9" x14ac:dyDescent="0.2">
      <c r="A299" s="4" t="str">
        <f ca="1">IF(K299="","",TODAY()-Table1[[#This Row],[Last Contacted]])</f>
        <v/>
      </c>
      <c r="B299" s="4" t="str">
        <f>_xlfn.XLOOKUP(Table1[[#This Row],[Contact Tempo]],Tempo[Contact Tempo],Tempo[Time Decay],"Never")</f>
        <v>Never</v>
      </c>
      <c r="H299" t="str">
        <f>IF(ISBLANK(Table1[[#This Row],[City]]),"",IF(AND(Table1[[#This Row],[Country]]=Settings!$A$2, Table1[[#This Row],[City]]=Settings!$B$2),"Yes","No"))</f>
        <v/>
      </c>
      <c r="I299" t="str">
        <f>Table1[[#This Row],[Country]]&amp;Table1[[#This Row],[City]]</f>
        <v/>
      </c>
    </row>
    <row r="300" spans="1:9" x14ac:dyDescent="0.2">
      <c r="A300" s="4" t="str">
        <f ca="1">IF(K300="","",TODAY()-Table1[[#This Row],[Last Contacted]])</f>
        <v/>
      </c>
      <c r="B300" s="4" t="str">
        <f>_xlfn.XLOOKUP(Table1[[#This Row],[Contact Tempo]],Tempo[Contact Tempo],Tempo[Time Decay],"Never")</f>
        <v>Never</v>
      </c>
      <c r="H300" t="str">
        <f>IF(ISBLANK(Table1[[#This Row],[City]]),"",IF(AND(Table1[[#This Row],[Country]]=Settings!$A$2, Table1[[#This Row],[City]]=Settings!$B$2),"Yes","No"))</f>
        <v/>
      </c>
      <c r="I300" t="str">
        <f>Table1[[#This Row],[Country]]&amp;Table1[[#This Row],[City]]</f>
        <v/>
      </c>
    </row>
    <row r="301" spans="1:9" x14ac:dyDescent="0.2">
      <c r="A301" s="4" t="str">
        <f ca="1">IF(K301="","",TODAY()-Table1[[#This Row],[Last Contacted]])</f>
        <v/>
      </c>
      <c r="B301" s="4" t="str">
        <f>_xlfn.XLOOKUP(Table1[[#This Row],[Contact Tempo]],Tempo[Contact Tempo],Tempo[Time Decay],"Never")</f>
        <v>Never</v>
      </c>
      <c r="H301" t="str">
        <f>IF(ISBLANK(Table1[[#This Row],[City]]),"",IF(AND(Table1[[#This Row],[Country]]=Settings!$A$2, Table1[[#This Row],[City]]=Settings!$B$2),"Yes","No"))</f>
        <v/>
      </c>
      <c r="I301" t="str">
        <f>Table1[[#This Row],[Country]]&amp;Table1[[#This Row],[City]]</f>
        <v/>
      </c>
    </row>
    <row r="302" spans="1:9" x14ac:dyDescent="0.2">
      <c r="A302" s="4" t="str">
        <f ca="1">IF(K302="","",TODAY()-Table1[[#This Row],[Last Contacted]])</f>
        <v/>
      </c>
      <c r="B302" s="4" t="str">
        <f>_xlfn.XLOOKUP(Table1[[#This Row],[Contact Tempo]],Tempo[Contact Tempo],Tempo[Time Decay],"Never")</f>
        <v>Never</v>
      </c>
      <c r="H302" t="str">
        <f>IF(ISBLANK(Table1[[#This Row],[City]]),"",IF(AND(Table1[[#This Row],[Country]]=Settings!$A$2, Table1[[#This Row],[City]]=Settings!$B$2),"Yes","No"))</f>
        <v/>
      </c>
      <c r="I302" t="str">
        <f>Table1[[#This Row],[Country]]&amp;Table1[[#This Row],[City]]</f>
        <v/>
      </c>
    </row>
    <row r="303" spans="1:9" x14ac:dyDescent="0.2">
      <c r="A303" s="4" t="str">
        <f ca="1">IF(K303="","",TODAY()-Table1[[#This Row],[Last Contacted]])</f>
        <v/>
      </c>
      <c r="B303" s="4" t="str">
        <f>_xlfn.XLOOKUP(Table1[[#This Row],[Contact Tempo]],Tempo[Contact Tempo],Tempo[Time Decay],"Never")</f>
        <v>Never</v>
      </c>
      <c r="H303" t="str">
        <f>IF(ISBLANK(Table1[[#This Row],[City]]),"",IF(AND(Table1[[#This Row],[Country]]=Settings!$A$2, Table1[[#This Row],[City]]=Settings!$B$2),"Yes","No"))</f>
        <v/>
      </c>
      <c r="I303" t="str">
        <f>Table1[[#This Row],[Country]]&amp;Table1[[#This Row],[City]]</f>
        <v/>
      </c>
    </row>
    <row r="304" spans="1:9" x14ac:dyDescent="0.2">
      <c r="A304" s="4" t="str">
        <f ca="1">IF(K304="","",TODAY()-Table1[[#This Row],[Last Contacted]])</f>
        <v/>
      </c>
      <c r="B304" s="4" t="str">
        <f>_xlfn.XLOOKUP(Table1[[#This Row],[Contact Tempo]],Tempo[Contact Tempo],Tempo[Time Decay],"Never")</f>
        <v>Never</v>
      </c>
      <c r="H304" t="str">
        <f>IF(ISBLANK(Table1[[#This Row],[City]]),"",IF(AND(Table1[[#This Row],[Country]]=Settings!$A$2, Table1[[#This Row],[City]]=Settings!$B$2),"Yes","No"))</f>
        <v/>
      </c>
      <c r="I304" t="str">
        <f>Table1[[#This Row],[Country]]&amp;Table1[[#This Row],[City]]</f>
        <v/>
      </c>
    </row>
    <row r="305" spans="1:9" x14ac:dyDescent="0.2">
      <c r="A305" s="4" t="str">
        <f ca="1">IF(K305="","",TODAY()-Table1[[#This Row],[Last Contacted]])</f>
        <v/>
      </c>
      <c r="B305" s="4" t="str">
        <f>_xlfn.XLOOKUP(Table1[[#This Row],[Contact Tempo]],Tempo[Contact Tempo],Tempo[Time Decay],"Never")</f>
        <v>Never</v>
      </c>
      <c r="H305" t="str">
        <f>IF(ISBLANK(Table1[[#This Row],[City]]),"",IF(AND(Table1[[#This Row],[Country]]=Settings!$A$2, Table1[[#This Row],[City]]=Settings!$B$2),"Yes","No"))</f>
        <v/>
      </c>
      <c r="I305" t="str">
        <f>Table1[[#This Row],[Country]]&amp;Table1[[#This Row],[City]]</f>
        <v/>
      </c>
    </row>
    <row r="306" spans="1:9" x14ac:dyDescent="0.2">
      <c r="A306" s="4" t="str">
        <f ca="1">IF(K306="","",TODAY()-Table1[[#This Row],[Last Contacted]])</f>
        <v/>
      </c>
      <c r="B306" s="4" t="str">
        <f>_xlfn.XLOOKUP(Table1[[#This Row],[Contact Tempo]],Tempo[Contact Tempo],Tempo[Time Decay],"Never")</f>
        <v>Never</v>
      </c>
      <c r="H306" t="str">
        <f>IF(ISBLANK(Table1[[#This Row],[City]]),"",IF(AND(Table1[[#This Row],[Country]]=Settings!$A$2, Table1[[#This Row],[City]]=Settings!$B$2),"Yes","No"))</f>
        <v/>
      </c>
      <c r="I306" t="str">
        <f>Table1[[#This Row],[Country]]&amp;Table1[[#This Row],[City]]</f>
        <v/>
      </c>
    </row>
    <row r="307" spans="1:9" x14ac:dyDescent="0.2">
      <c r="A307" s="4" t="str">
        <f ca="1">IF(K307="","",TODAY()-Table1[[#This Row],[Last Contacted]])</f>
        <v/>
      </c>
      <c r="B307" s="4" t="str">
        <f>_xlfn.XLOOKUP(Table1[[#This Row],[Contact Tempo]],Tempo[Contact Tempo],Tempo[Time Decay],"Never")</f>
        <v>Never</v>
      </c>
      <c r="H307" t="str">
        <f>IF(ISBLANK(Table1[[#This Row],[City]]),"",IF(AND(Table1[[#This Row],[Country]]=Settings!$A$2, Table1[[#This Row],[City]]=Settings!$B$2),"Yes","No"))</f>
        <v/>
      </c>
      <c r="I307" t="str">
        <f>Table1[[#This Row],[Country]]&amp;Table1[[#This Row],[City]]</f>
        <v/>
      </c>
    </row>
    <row r="308" spans="1:9" x14ac:dyDescent="0.2">
      <c r="A308" s="4" t="str">
        <f ca="1">IF(K308="","",TODAY()-Table1[[#This Row],[Last Contacted]])</f>
        <v/>
      </c>
      <c r="B308" s="4" t="str">
        <f>_xlfn.XLOOKUP(Table1[[#This Row],[Contact Tempo]],Tempo[Contact Tempo],Tempo[Time Decay],"Never")</f>
        <v>Never</v>
      </c>
      <c r="H308" t="str">
        <f>IF(ISBLANK(Table1[[#This Row],[City]]),"",IF(AND(Table1[[#This Row],[Country]]=Settings!$A$2, Table1[[#This Row],[City]]=Settings!$B$2),"Yes","No"))</f>
        <v/>
      </c>
      <c r="I308" t="str">
        <f>Table1[[#This Row],[Country]]&amp;Table1[[#This Row],[City]]</f>
        <v/>
      </c>
    </row>
    <row r="309" spans="1:9" x14ac:dyDescent="0.2">
      <c r="A309" s="4" t="str">
        <f ca="1">IF(K309="","",TODAY()-Table1[[#This Row],[Last Contacted]])</f>
        <v/>
      </c>
      <c r="B309" s="4" t="str">
        <f>_xlfn.XLOOKUP(Table1[[#This Row],[Contact Tempo]],Tempo[Contact Tempo],Tempo[Time Decay],"Never")</f>
        <v>Never</v>
      </c>
      <c r="H309" t="str">
        <f>IF(ISBLANK(Table1[[#This Row],[City]]),"",IF(AND(Table1[[#This Row],[Country]]=Settings!$A$2, Table1[[#This Row],[City]]=Settings!$B$2),"Yes","No"))</f>
        <v/>
      </c>
      <c r="I309" t="str">
        <f>Table1[[#This Row],[Country]]&amp;Table1[[#This Row],[City]]</f>
        <v/>
      </c>
    </row>
    <row r="310" spans="1:9" x14ac:dyDescent="0.2">
      <c r="A310" s="4" t="str">
        <f ca="1">IF(K310="","",TODAY()-Table1[[#This Row],[Last Contacted]])</f>
        <v/>
      </c>
      <c r="B310" s="4" t="str">
        <f>_xlfn.XLOOKUP(Table1[[#This Row],[Contact Tempo]],Tempo[Contact Tempo],Tempo[Time Decay],"Never")</f>
        <v>Never</v>
      </c>
      <c r="H310" t="str">
        <f>IF(ISBLANK(Table1[[#This Row],[City]]),"",IF(AND(Table1[[#This Row],[Country]]=Settings!$A$2, Table1[[#This Row],[City]]=Settings!$B$2),"Yes","No"))</f>
        <v/>
      </c>
      <c r="I310" t="str">
        <f>Table1[[#This Row],[Country]]&amp;Table1[[#This Row],[City]]</f>
        <v/>
      </c>
    </row>
    <row r="311" spans="1:9" x14ac:dyDescent="0.2">
      <c r="A311" s="4" t="str">
        <f ca="1">IF(K311="","",TODAY()-Table1[[#This Row],[Last Contacted]])</f>
        <v/>
      </c>
      <c r="B311" s="4" t="str">
        <f>_xlfn.XLOOKUP(Table1[[#This Row],[Contact Tempo]],Tempo[Contact Tempo],Tempo[Time Decay],"Never")</f>
        <v>Never</v>
      </c>
      <c r="H311" t="str">
        <f>IF(ISBLANK(Table1[[#This Row],[City]]),"",IF(AND(Table1[[#This Row],[Country]]=Settings!$A$2, Table1[[#This Row],[City]]=Settings!$B$2),"Yes","No"))</f>
        <v/>
      </c>
      <c r="I311" t="str">
        <f>Table1[[#This Row],[Country]]&amp;Table1[[#This Row],[City]]</f>
        <v/>
      </c>
    </row>
    <row r="312" spans="1:9" x14ac:dyDescent="0.2">
      <c r="A312" s="4" t="str">
        <f ca="1">IF(K312="","",TODAY()-Table1[[#This Row],[Last Contacted]])</f>
        <v/>
      </c>
      <c r="B312" s="4" t="str">
        <f>_xlfn.XLOOKUP(Table1[[#This Row],[Contact Tempo]],Tempo[Contact Tempo],Tempo[Time Decay],"Never")</f>
        <v>Never</v>
      </c>
      <c r="H312" t="str">
        <f>IF(ISBLANK(Table1[[#This Row],[City]]),"",IF(AND(Table1[[#This Row],[Country]]=Settings!$A$2, Table1[[#This Row],[City]]=Settings!$B$2),"Yes","No"))</f>
        <v/>
      </c>
      <c r="I312" t="str">
        <f>Table1[[#This Row],[Country]]&amp;Table1[[#This Row],[City]]</f>
        <v/>
      </c>
    </row>
    <row r="313" spans="1:9" x14ac:dyDescent="0.2">
      <c r="A313" s="4" t="str">
        <f ca="1">IF(K313="","",TODAY()-Table1[[#This Row],[Last Contacted]])</f>
        <v/>
      </c>
      <c r="B313" s="4" t="str">
        <f>_xlfn.XLOOKUP(Table1[[#This Row],[Contact Tempo]],Tempo[Contact Tempo],Tempo[Time Decay],"Never")</f>
        <v>Never</v>
      </c>
      <c r="H313" t="str">
        <f>IF(ISBLANK(Table1[[#This Row],[City]]),"",IF(AND(Table1[[#This Row],[Country]]=Settings!$A$2, Table1[[#This Row],[City]]=Settings!$B$2),"Yes","No"))</f>
        <v/>
      </c>
      <c r="I313" t="str">
        <f>Table1[[#This Row],[Country]]&amp;Table1[[#This Row],[City]]</f>
        <v/>
      </c>
    </row>
    <row r="314" spans="1:9" x14ac:dyDescent="0.2">
      <c r="A314" s="4" t="str">
        <f ca="1">IF(K314="","",TODAY()-Table1[[#This Row],[Last Contacted]])</f>
        <v/>
      </c>
      <c r="B314" s="4" t="str">
        <f>_xlfn.XLOOKUP(Table1[[#This Row],[Contact Tempo]],Tempo[Contact Tempo],Tempo[Time Decay],"Never")</f>
        <v>Never</v>
      </c>
      <c r="H314" t="str">
        <f>IF(ISBLANK(Table1[[#This Row],[City]]),"",IF(AND(Table1[[#This Row],[Country]]=Settings!$A$2, Table1[[#This Row],[City]]=Settings!$B$2),"Yes","No"))</f>
        <v/>
      </c>
      <c r="I314" t="str">
        <f>Table1[[#This Row],[Country]]&amp;Table1[[#This Row],[City]]</f>
        <v/>
      </c>
    </row>
    <row r="315" spans="1:9" x14ac:dyDescent="0.2">
      <c r="A315" s="4" t="str">
        <f ca="1">IF(K315="","",TODAY()-Table1[[#This Row],[Last Contacted]])</f>
        <v/>
      </c>
      <c r="B315" s="4" t="str">
        <f>_xlfn.XLOOKUP(Table1[[#This Row],[Contact Tempo]],Tempo[Contact Tempo],Tempo[Time Decay],"Never")</f>
        <v>Never</v>
      </c>
      <c r="H315" t="str">
        <f>IF(ISBLANK(Table1[[#This Row],[City]]),"",IF(AND(Table1[[#This Row],[Country]]=Settings!$A$2, Table1[[#This Row],[City]]=Settings!$B$2),"Yes","No"))</f>
        <v/>
      </c>
      <c r="I315" t="str">
        <f>Table1[[#This Row],[Country]]&amp;Table1[[#This Row],[City]]</f>
        <v/>
      </c>
    </row>
    <row r="316" spans="1:9" x14ac:dyDescent="0.2">
      <c r="A316" s="4" t="str">
        <f ca="1">IF(K316="","",TODAY()-Table1[[#This Row],[Last Contacted]])</f>
        <v/>
      </c>
      <c r="B316" s="4" t="str">
        <f>_xlfn.XLOOKUP(Table1[[#This Row],[Contact Tempo]],Tempo[Contact Tempo],Tempo[Time Decay],"Never")</f>
        <v>Never</v>
      </c>
      <c r="H316" t="str">
        <f>IF(ISBLANK(Table1[[#This Row],[City]]),"",IF(AND(Table1[[#This Row],[Country]]=Settings!$A$2, Table1[[#This Row],[City]]=Settings!$B$2),"Yes","No"))</f>
        <v/>
      </c>
      <c r="I316" t="str">
        <f>Table1[[#This Row],[Country]]&amp;Table1[[#This Row],[City]]</f>
        <v/>
      </c>
    </row>
    <row r="317" spans="1:9" x14ac:dyDescent="0.2">
      <c r="A317" s="4" t="str">
        <f ca="1">IF(K317="","",TODAY()-Table1[[#This Row],[Last Contacted]])</f>
        <v/>
      </c>
      <c r="B317" s="4" t="str">
        <f>_xlfn.XLOOKUP(Table1[[#This Row],[Contact Tempo]],Tempo[Contact Tempo],Tempo[Time Decay],"Never")</f>
        <v>Never</v>
      </c>
      <c r="H317" t="str">
        <f>IF(ISBLANK(Table1[[#This Row],[City]]),"",IF(AND(Table1[[#This Row],[Country]]=Settings!$A$2, Table1[[#This Row],[City]]=Settings!$B$2),"Yes","No"))</f>
        <v/>
      </c>
      <c r="I317" t="str">
        <f>Table1[[#This Row],[Country]]&amp;Table1[[#This Row],[City]]</f>
        <v/>
      </c>
    </row>
    <row r="318" spans="1:9" x14ac:dyDescent="0.2">
      <c r="A318" s="4" t="str">
        <f ca="1">IF(K318="","",TODAY()-Table1[[#This Row],[Last Contacted]])</f>
        <v/>
      </c>
      <c r="B318" s="4" t="str">
        <f>_xlfn.XLOOKUP(Table1[[#This Row],[Contact Tempo]],Tempo[Contact Tempo],Tempo[Time Decay],"Never")</f>
        <v>Never</v>
      </c>
      <c r="H318" t="str">
        <f>IF(ISBLANK(Table1[[#This Row],[City]]),"",IF(AND(Table1[[#This Row],[Country]]=Settings!$A$2, Table1[[#This Row],[City]]=Settings!$B$2),"Yes","No"))</f>
        <v/>
      </c>
      <c r="I318" t="str">
        <f>Table1[[#This Row],[Country]]&amp;Table1[[#This Row],[City]]</f>
        <v/>
      </c>
    </row>
    <row r="319" spans="1:9" x14ac:dyDescent="0.2">
      <c r="A319" s="4" t="str">
        <f ca="1">IF(K319="","",TODAY()-Table1[[#This Row],[Last Contacted]])</f>
        <v/>
      </c>
      <c r="B319" s="4" t="str">
        <f>_xlfn.XLOOKUP(Table1[[#This Row],[Contact Tempo]],Tempo[Contact Tempo],Tempo[Time Decay],"Never")</f>
        <v>Never</v>
      </c>
      <c r="H319" t="str">
        <f>IF(ISBLANK(Table1[[#This Row],[City]]),"",IF(AND(Table1[[#This Row],[Country]]=Settings!$A$2, Table1[[#This Row],[City]]=Settings!$B$2),"Yes","No"))</f>
        <v/>
      </c>
      <c r="I319" t="str">
        <f>Table1[[#This Row],[Country]]&amp;Table1[[#This Row],[City]]</f>
        <v/>
      </c>
    </row>
    <row r="320" spans="1:9" x14ac:dyDescent="0.2">
      <c r="A320" s="4" t="str">
        <f ca="1">IF(K320="","",TODAY()-Table1[[#This Row],[Last Contacted]])</f>
        <v/>
      </c>
      <c r="B320" s="4" t="str">
        <f>_xlfn.XLOOKUP(Table1[[#This Row],[Contact Tempo]],Tempo[Contact Tempo],Tempo[Time Decay],"Never")</f>
        <v>Never</v>
      </c>
      <c r="H320" t="str">
        <f>IF(ISBLANK(Table1[[#This Row],[City]]),"",IF(AND(Table1[[#This Row],[Country]]=Settings!$A$2, Table1[[#This Row],[City]]=Settings!$B$2),"Yes","No"))</f>
        <v/>
      </c>
      <c r="I320" t="str">
        <f>Table1[[#This Row],[Country]]&amp;Table1[[#This Row],[City]]</f>
        <v/>
      </c>
    </row>
    <row r="321" spans="1:9" x14ac:dyDescent="0.2">
      <c r="A321" s="4" t="str">
        <f ca="1">IF(K321="","",TODAY()-Table1[[#This Row],[Last Contacted]])</f>
        <v/>
      </c>
      <c r="B321" s="4" t="str">
        <f>_xlfn.XLOOKUP(Table1[[#This Row],[Contact Tempo]],Tempo[Contact Tempo],Tempo[Time Decay],"Never")</f>
        <v>Never</v>
      </c>
      <c r="H321" t="str">
        <f>IF(ISBLANK(Table1[[#This Row],[City]]),"",IF(AND(Table1[[#This Row],[Country]]=Settings!$A$2, Table1[[#This Row],[City]]=Settings!$B$2),"Yes","No"))</f>
        <v/>
      </c>
      <c r="I321" t="str">
        <f>Table1[[#This Row],[Country]]&amp;Table1[[#This Row],[City]]</f>
        <v/>
      </c>
    </row>
    <row r="322" spans="1:9" x14ac:dyDescent="0.2">
      <c r="A322" s="4" t="str">
        <f ca="1">IF(K322="","",TODAY()-Table1[[#This Row],[Last Contacted]])</f>
        <v/>
      </c>
      <c r="B322" s="4" t="str">
        <f>_xlfn.XLOOKUP(Table1[[#This Row],[Contact Tempo]],Tempo[Contact Tempo],Tempo[Time Decay],"Never")</f>
        <v>Never</v>
      </c>
      <c r="H322" t="str">
        <f>IF(ISBLANK(Table1[[#This Row],[City]]),"",IF(AND(Table1[[#This Row],[Country]]=Settings!$A$2, Table1[[#This Row],[City]]=Settings!$B$2),"Yes","No"))</f>
        <v/>
      </c>
      <c r="I322" t="str">
        <f>Table1[[#This Row],[Country]]&amp;Table1[[#This Row],[City]]</f>
        <v/>
      </c>
    </row>
    <row r="323" spans="1:9" x14ac:dyDescent="0.2">
      <c r="A323" s="4" t="str">
        <f ca="1">IF(K323="","",TODAY()-Table1[[#This Row],[Last Contacted]])</f>
        <v/>
      </c>
      <c r="B323" s="4" t="str">
        <f>_xlfn.XLOOKUP(Table1[[#This Row],[Contact Tempo]],Tempo[Contact Tempo],Tempo[Time Decay],"Never")</f>
        <v>Never</v>
      </c>
      <c r="H323" t="str">
        <f>IF(ISBLANK(Table1[[#This Row],[City]]),"",IF(AND(Table1[[#This Row],[Country]]=Settings!$A$2, Table1[[#This Row],[City]]=Settings!$B$2),"Yes","No"))</f>
        <v/>
      </c>
      <c r="I323" t="str">
        <f>Table1[[#This Row],[Country]]&amp;Table1[[#This Row],[City]]</f>
        <v/>
      </c>
    </row>
    <row r="324" spans="1:9" x14ac:dyDescent="0.2">
      <c r="A324" s="4" t="str">
        <f ca="1">IF(K324="","",TODAY()-Table1[[#This Row],[Last Contacted]])</f>
        <v/>
      </c>
      <c r="B324" s="4" t="str">
        <f>_xlfn.XLOOKUP(Table1[[#This Row],[Contact Tempo]],Tempo[Contact Tempo],Tempo[Time Decay],"Never")</f>
        <v>Never</v>
      </c>
      <c r="H324" t="str">
        <f>IF(ISBLANK(Table1[[#This Row],[City]]),"",IF(AND(Table1[[#This Row],[Country]]=Settings!$A$2, Table1[[#This Row],[City]]=Settings!$B$2),"Yes","No"))</f>
        <v/>
      </c>
      <c r="I324" t="str">
        <f>Table1[[#This Row],[Country]]&amp;Table1[[#This Row],[City]]</f>
        <v/>
      </c>
    </row>
    <row r="325" spans="1:9" x14ac:dyDescent="0.2">
      <c r="A325" s="4" t="str">
        <f ca="1">IF(K325="","",TODAY()-Table1[[#This Row],[Last Contacted]])</f>
        <v/>
      </c>
      <c r="B325" s="4" t="str">
        <f>_xlfn.XLOOKUP(Table1[[#This Row],[Contact Tempo]],Tempo[Contact Tempo],Tempo[Time Decay],"Never")</f>
        <v>Never</v>
      </c>
      <c r="H325" t="str">
        <f>IF(ISBLANK(Table1[[#This Row],[City]]),"",IF(AND(Table1[[#This Row],[Country]]=Settings!$A$2, Table1[[#This Row],[City]]=Settings!$B$2),"Yes","No"))</f>
        <v/>
      </c>
      <c r="I325" t="str">
        <f>Table1[[#This Row],[Country]]&amp;Table1[[#This Row],[City]]</f>
        <v/>
      </c>
    </row>
    <row r="326" spans="1:9" x14ac:dyDescent="0.2">
      <c r="A326" s="4" t="str">
        <f ca="1">IF(K326="","",TODAY()-Table1[[#This Row],[Last Contacted]])</f>
        <v/>
      </c>
      <c r="B326" s="4" t="str">
        <f>_xlfn.XLOOKUP(Table1[[#This Row],[Contact Tempo]],Tempo[Contact Tempo],Tempo[Time Decay],"Never")</f>
        <v>Never</v>
      </c>
      <c r="H326" t="str">
        <f>IF(ISBLANK(Table1[[#This Row],[City]]),"",IF(AND(Table1[[#This Row],[Country]]=Settings!$A$2, Table1[[#This Row],[City]]=Settings!$B$2),"Yes","No"))</f>
        <v/>
      </c>
      <c r="I326" t="str">
        <f>Table1[[#This Row],[Country]]&amp;Table1[[#This Row],[City]]</f>
        <v/>
      </c>
    </row>
    <row r="327" spans="1:9" x14ac:dyDescent="0.2">
      <c r="A327" s="4" t="str">
        <f ca="1">IF(K327="","",TODAY()-Table1[[#This Row],[Last Contacted]])</f>
        <v/>
      </c>
      <c r="B327" s="4" t="str">
        <f>_xlfn.XLOOKUP(Table1[[#This Row],[Contact Tempo]],Tempo[Contact Tempo],Tempo[Time Decay],"Never")</f>
        <v>Never</v>
      </c>
      <c r="H327" t="str">
        <f>IF(ISBLANK(Table1[[#This Row],[City]]),"",IF(AND(Table1[[#This Row],[Country]]=Settings!$A$2, Table1[[#This Row],[City]]=Settings!$B$2),"Yes","No"))</f>
        <v/>
      </c>
      <c r="I327" t="str">
        <f>Table1[[#This Row],[Country]]&amp;Table1[[#This Row],[City]]</f>
        <v/>
      </c>
    </row>
    <row r="328" spans="1:9" x14ac:dyDescent="0.2">
      <c r="A328" s="4" t="str">
        <f ca="1">IF(K328="","",TODAY()-Table1[[#This Row],[Last Contacted]])</f>
        <v/>
      </c>
      <c r="B328" s="4" t="str">
        <f>_xlfn.XLOOKUP(Table1[[#This Row],[Contact Tempo]],Tempo[Contact Tempo],Tempo[Time Decay],"Never")</f>
        <v>Never</v>
      </c>
      <c r="H328" t="str">
        <f>IF(ISBLANK(Table1[[#This Row],[City]]),"",IF(AND(Table1[[#This Row],[Country]]=Settings!$A$2, Table1[[#This Row],[City]]=Settings!$B$2),"Yes","No"))</f>
        <v/>
      </c>
      <c r="I328" t="str">
        <f>Table1[[#This Row],[Country]]&amp;Table1[[#This Row],[City]]</f>
        <v/>
      </c>
    </row>
    <row r="329" spans="1:9" x14ac:dyDescent="0.2">
      <c r="A329" s="4" t="str">
        <f ca="1">IF(K329="","",TODAY()-Table1[[#This Row],[Last Contacted]])</f>
        <v/>
      </c>
      <c r="B329" s="4" t="str">
        <f>_xlfn.XLOOKUP(Table1[[#This Row],[Contact Tempo]],Tempo[Contact Tempo],Tempo[Time Decay],"Never")</f>
        <v>Never</v>
      </c>
      <c r="H329" t="str">
        <f>IF(ISBLANK(Table1[[#This Row],[City]]),"",IF(AND(Table1[[#This Row],[Country]]=Settings!$A$2, Table1[[#This Row],[City]]=Settings!$B$2),"Yes","No"))</f>
        <v/>
      </c>
      <c r="I329" t="str">
        <f>Table1[[#This Row],[Country]]&amp;Table1[[#This Row],[City]]</f>
        <v/>
      </c>
    </row>
    <row r="330" spans="1:9" x14ac:dyDescent="0.2">
      <c r="A330" s="4" t="str">
        <f ca="1">IF(K330="","",TODAY()-Table1[[#This Row],[Last Contacted]])</f>
        <v/>
      </c>
      <c r="B330" s="4" t="str">
        <f>_xlfn.XLOOKUP(Table1[[#This Row],[Contact Tempo]],Tempo[Contact Tempo],Tempo[Time Decay],"Never")</f>
        <v>Never</v>
      </c>
      <c r="H330" t="str">
        <f>IF(ISBLANK(Table1[[#This Row],[City]]),"",IF(AND(Table1[[#This Row],[Country]]=Settings!$A$2, Table1[[#This Row],[City]]=Settings!$B$2),"Yes","No"))</f>
        <v/>
      </c>
      <c r="I330" t="str">
        <f>Table1[[#This Row],[Country]]&amp;Table1[[#This Row],[City]]</f>
        <v/>
      </c>
    </row>
    <row r="331" spans="1:9" x14ac:dyDescent="0.2">
      <c r="A331" s="4" t="str">
        <f ca="1">IF(K331="","",TODAY()-Table1[[#This Row],[Last Contacted]])</f>
        <v/>
      </c>
      <c r="B331" s="4" t="str">
        <f>_xlfn.XLOOKUP(Table1[[#This Row],[Contact Tempo]],Tempo[Contact Tempo],Tempo[Time Decay],"Never")</f>
        <v>Never</v>
      </c>
      <c r="H331" t="str">
        <f>IF(ISBLANK(Table1[[#This Row],[City]]),"",IF(AND(Table1[[#This Row],[Country]]=Settings!$A$2, Table1[[#This Row],[City]]=Settings!$B$2),"Yes","No"))</f>
        <v/>
      </c>
      <c r="I331" t="str">
        <f>Table1[[#This Row],[Country]]&amp;Table1[[#This Row],[City]]</f>
        <v/>
      </c>
    </row>
    <row r="332" spans="1:9" x14ac:dyDescent="0.2">
      <c r="A332" s="4" t="str">
        <f ca="1">IF(K332="","",TODAY()-Table1[[#This Row],[Last Contacted]])</f>
        <v/>
      </c>
      <c r="B332" s="4" t="str">
        <f>_xlfn.XLOOKUP(Table1[[#This Row],[Contact Tempo]],Tempo[Contact Tempo],Tempo[Time Decay],"Never")</f>
        <v>Never</v>
      </c>
      <c r="H332" t="str">
        <f>IF(ISBLANK(Table1[[#This Row],[City]]),"",IF(AND(Table1[[#This Row],[Country]]=Settings!$A$2, Table1[[#This Row],[City]]=Settings!$B$2),"Yes","No"))</f>
        <v/>
      </c>
      <c r="I332" t="str">
        <f>Table1[[#This Row],[Country]]&amp;Table1[[#This Row],[City]]</f>
        <v/>
      </c>
    </row>
    <row r="333" spans="1:9" x14ac:dyDescent="0.2">
      <c r="A333" s="4" t="str">
        <f ca="1">IF(K333="","",TODAY()-Table1[[#This Row],[Last Contacted]])</f>
        <v/>
      </c>
      <c r="B333" s="4" t="str">
        <f>_xlfn.XLOOKUP(Table1[[#This Row],[Contact Tempo]],Tempo[Contact Tempo],Tempo[Time Decay],"Never")</f>
        <v>Never</v>
      </c>
      <c r="H333" t="str">
        <f>IF(ISBLANK(Table1[[#This Row],[City]]),"",IF(AND(Table1[[#This Row],[Country]]=Settings!$A$2, Table1[[#This Row],[City]]=Settings!$B$2),"Yes","No"))</f>
        <v/>
      </c>
      <c r="I333" t="str">
        <f>Table1[[#This Row],[Country]]&amp;Table1[[#This Row],[City]]</f>
        <v/>
      </c>
    </row>
    <row r="334" spans="1:9" x14ac:dyDescent="0.2">
      <c r="A334" s="4" t="str">
        <f ca="1">IF(K334="","",TODAY()-Table1[[#This Row],[Last Contacted]])</f>
        <v/>
      </c>
      <c r="B334" s="4" t="str">
        <f>_xlfn.XLOOKUP(Table1[[#This Row],[Contact Tempo]],Tempo[Contact Tempo],Tempo[Time Decay],"Never")</f>
        <v>Never</v>
      </c>
      <c r="H334" t="str">
        <f>IF(ISBLANK(Table1[[#This Row],[City]]),"",IF(AND(Table1[[#This Row],[Country]]=Settings!$A$2, Table1[[#This Row],[City]]=Settings!$B$2),"Yes","No"))</f>
        <v/>
      </c>
      <c r="I334" t="str">
        <f>Table1[[#This Row],[Country]]&amp;Table1[[#This Row],[City]]</f>
        <v/>
      </c>
    </row>
    <row r="335" spans="1:9" x14ac:dyDescent="0.2">
      <c r="A335" s="4" t="str">
        <f ca="1">IF(K335="","",TODAY()-Table1[[#This Row],[Last Contacted]])</f>
        <v/>
      </c>
      <c r="B335" s="4" t="str">
        <f>_xlfn.XLOOKUP(Table1[[#This Row],[Contact Tempo]],Tempo[Contact Tempo],Tempo[Time Decay],"Never")</f>
        <v>Never</v>
      </c>
      <c r="H335" t="str">
        <f>IF(ISBLANK(Table1[[#This Row],[City]]),"",IF(AND(Table1[[#This Row],[Country]]=Settings!$A$2, Table1[[#This Row],[City]]=Settings!$B$2),"Yes","No"))</f>
        <v/>
      </c>
      <c r="I335" t="str">
        <f>Table1[[#This Row],[Country]]&amp;Table1[[#This Row],[City]]</f>
        <v/>
      </c>
    </row>
    <row r="336" spans="1:9" x14ac:dyDescent="0.2">
      <c r="A336" s="4" t="str">
        <f ca="1">IF(K336="","",TODAY()-Table1[[#This Row],[Last Contacted]])</f>
        <v/>
      </c>
      <c r="B336" s="4" t="str">
        <f>_xlfn.XLOOKUP(Table1[[#This Row],[Contact Tempo]],Tempo[Contact Tempo],Tempo[Time Decay],"Never")</f>
        <v>Never</v>
      </c>
      <c r="H336" t="str">
        <f>IF(ISBLANK(Table1[[#This Row],[City]]),"",IF(AND(Table1[[#This Row],[Country]]=Settings!$A$2, Table1[[#This Row],[City]]=Settings!$B$2),"Yes","No"))</f>
        <v/>
      </c>
      <c r="I336" t="str">
        <f>Table1[[#This Row],[Country]]&amp;Table1[[#This Row],[City]]</f>
        <v/>
      </c>
    </row>
    <row r="337" spans="1:9" x14ac:dyDescent="0.2">
      <c r="A337" s="4" t="str">
        <f ca="1">IF(K337="","",TODAY()-Table1[[#This Row],[Last Contacted]])</f>
        <v/>
      </c>
      <c r="B337" s="4" t="str">
        <f>_xlfn.XLOOKUP(Table1[[#This Row],[Contact Tempo]],Tempo[Contact Tempo],Tempo[Time Decay],"Never")</f>
        <v>Never</v>
      </c>
      <c r="H337" t="str">
        <f>IF(ISBLANK(Table1[[#This Row],[City]]),"",IF(AND(Table1[[#This Row],[Country]]=Settings!$A$2, Table1[[#This Row],[City]]=Settings!$B$2),"Yes","No"))</f>
        <v/>
      </c>
      <c r="I337" t="str">
        <f>Table1[[#This Row],[Country]]&amp;Table1[[#This Row],[City]]</f>
        <v/>
      </c>
    </row>
    <row r="338" spans="1:9" x14ac:dyDescent="0.2">
      <c r="A338" s="4" t="str">
        <f ca="1">IF(K338="","",TODAY()-Table1[[#This Row],[Last Contacted]])</f>
        <v/>
      </c>
      <c r="B338" s="4" t="str">
        <f>_xlfn.XLOOKUP(Table1[[#This Row],[Contact Tempo]],Tempo[Contact Tempo],Tempo[Time Decay],"Never")</f>
        <v>Never</v>
      </c>
      <c r="H338" t="str">
        <f>IF(ISBLANK(Table1[[#This Row],[City]]),"",IF(AND(Table1[[#This Row],[Country]]=Settings!$A$2, Table1[[#This Row],[City]]=Settings!$B$2),"Yes","No"))</f>
        <v/>
      </c>
      <c r="I338" t="str">
        <f>Table1[[#This Row],[Country]]&amp;Table1[[#This Row],[City]]</f>
        <v/>
      </c>
    </row>
    <row r="339" spans="1:9" x14ac:dyDescent="0.2">
      <c r="A339" s="4" t="str">
        <f ca="1">IF(K339="","",TODAY()-Table1[[#This Row],[Last Contacted]])</f>
        <v/>
      </c>
      <c r="B339" s="4" t="str">
        <f>_xlfn.XLOOKUP(Table1[[#This Row],[Contact Tempo]],Tempo[Contact Tempo],Tempo[Time Decay],"Never")</f>
        <v>Never</v>
      </c>
      <c r="H339" t="str">
        <f>IF(ISBLANK(Table1[[#This Row],[City]]),"",IF(AND(Table1[[#This Row],[Country]]=Settings!$A$2, Table1[[#This Row],[City]]=Settings!$B$2),"Yes","No"))</f>
        <v/>
      </c>
      <c r="I339" t="str">
        <f>Table1[[#This Row],[Country]]&amp;Table1[[#This Row],[City]]</f>
        <v/>
      </c>
    </row>
    <row r="340" spans="1:9" x14ac:dyDescent="0.2">
      <c r="A340" s="4" t="str">
        <f ca="1">IF(K340="","",TODAY()-Table1[[#This Row],[Last Contacted]])</f>
        <v/>
      </c>
      <c r="B340" s="4" t="str">
        <f>_xlfn.XLOOKUP(Table1[[#This Row],[Contact Tempo]],Tempo[Contact Tempo],Tempo[Time Decay],"Never")</f>
        <v>Never</v>
      </c>
      <c r="H340" t="str">
        <f>IF(ISBLANK(Table1[[#This Row],[City]]),"",IF(AND(Table1[[#This Row],[Country]]=Settings!$A$2, Table1[[#This Row],[City]]=Settings!$B$2),"Yes","No"))</f>
        <v/>
      </c>
      <c r="I340" t="str">
        <f>Table1[[#This Row],[Country]]&amp;Table1[[#This Row],[City]]</f>
        <v/>
      </c>
    </row>
    <row r="341" spans="1:9" x14ac:dyDescent="0.2">
      <c r="A341" s="4" t="str">
        <f ca="1">IF(K341="","",TODAY()-Table1[[#This Row],[Last Contacted]])</f>
        <v/>
      </c>
      <c r="B341" s="4" t="str">
        <f>_xlfn.XLOOKUP(Table1[[#This Row],[Contact Tempo]],Tempo[Contact Tempo],Tempo[Time Decay],"Never")</f>
        <v>Never</v>
      </c>
      <c r="H341" t="str">
        <f>IF(ISBLANK(Table1[[#This Row],[City]]),"",IF(AND(Table1[[#This Row],[Country]]=Settings!$A$2, Table1[[#This Row],[City]]=Settings!$B$2),"Yes","No"))</f>
        <v/>
      </c>
      <c r="I341" t="str">
        <f>Table1[[#This Row],[Country]]&amp;Table1[[#This Row],[City]]</f>
        <v/>
      </c>
    </row>
    <row r="342" spans="1:9" x14ac:dyDescent="0.2">
      <c r="A342" s="4" t="str">
        <f ca="1">IF(K342="","",TODAY()-Table1[[#This Row],[Last Contacted]])</f>
        <v/>
      </c>
      <c r="B342" s="4" t="str">
        <f>_xlfn.XLOOKUP(Table1[[#This Row],[Contact Tempo]],Tempo[Contact Tempo],Tempo[Time Decay],"Never")</f>
        <v>Never</v>
      </c>
      <c r="H342" t="str">
        <f>IF(ISBLANK(Table1[[#This Row],[City]]),"",IF(AND(Table1[[#This Row],[Country]]=Settings!$A$2, Table1[[#This Row],[City]]=Settings!$B$2),"Yes","No"))</f>
        <v/>
      </c>
      <c r="I342" t="str">
        <f>Table1[[#This Row],[Country]]&amp;Table1[[#This Row],[City]]</f>
        <v/>
      </c>
    </row>
    <row r="343" spans="1:9" x14ac:dyDescent="0.2">
      <c r="A343" s="4" t="str">
        <f ca="1">IF(K343="","",TODAY()-Table1[[#This Row],[Last Contacted]])</f>
        <v/>
      </c>
      <c r="B343" s="4" t="str">
        <f>_xlfn.XLOOKUP(Table1[[#This Row],[Contact Tempo]],Tempo[Contact Tempo],Tempo[Time Decay],"Never")</f>
        <v>Never</v>
      </c>
      <c r="H343" t="str">
        <f>IF(ISBLANK(Table1[[#This Row],[City]]),"",IF(AND(Table1[[#This Row],[Country]]=Settings!$A$2, Table1[[#This Row],[City]]=Settings!$B$2),"Yes","No"))</f>
        <v/>
      </c>
      <c r="I343" t="str">
        <f>Table1[[#This Row],[Country]]&amp;Table1[[#This Row],[City]]</f>
        <v/>
      </c>
    </row>
    <row r="344" spans="1:9" x14ac:dyDescent="0.2">
      <c r="A344" s="4" t="str">
        <f ca="1">IF(K344="","",TODAY()-Table1[[#This Row],[Last Contacted]])</f>
        <v/>
      </c>
      <c r="B344" s="4" t="str">
        <f>_xlfn.XLOOKUP(Table1[[#This Row],[Contact Tempo]],Tempo[Contact Tempo],Tempo[Time Decay],"Never")</f>
        <v>Never</v>
      </c>
      <c r="H344" t="str">
        <f>IF(ISBLANK(Table1[[#This Row],[City]]),"",IF(AND(Table1[[#This Row],[Country]]=Settings!$A$2, Table1[[#This Row],[City]]=Settings!$B$2),"Yes","No"))</f>
        <v/>
      </c>
      <c r="I344" t="str">
        <f>Table1[[#This Row],[Country]]&amp;Table1[[#This Row],[City]]</f>
        <v/>
      </c>
    </row>
    <row r="345" spans="1:9" x14ac:dyDescent="0.2">
      <c r="A345" s="4" t="str">
        <f ca="1">IF(K345="","",TODAY()-Table1[[#This Row],[Last Contacted]])</f>
        <v/>
      </c>
      <c r="B345" s="4" t="str">
        <f>_xlfn.XLOOKUP(Table1[[#This Row],[Contact Tempo]],Tempo[Contact Tempo],Tempo[Time Decay],"Never")</f>
        <v>Never</v>
      </c>
      <c r="H345" t="str">
        <f>IF(ISBLANK(Table1[[#This Row],[City]]),"",IF(AND(Table1[[#This Row],[Country]]=Settings!$A$2, Table1[[#This Row],[City]]=Settings!$B$2),"Yes","No"))</f>
        <v/>
      </c>
      <c r="I345" t="str">
        <f>Table1[[#This Row],[Country]]&amp;Table1[[#This Row],[City]]</f>
        <v/>
      </c>
    </row>
    <row r="346" spans="1:9" x14ac:dyDescent="0.2">
      <c r="A346" s="4" t="str">
        <f ca="1">IF(K346="","",TODAY()-Table1[[#This Row],[Last Contacted]])</f>
        <v/>
      </c>
      <c r="B346" s="4" t="str">
        <f>_xlfn.XLOOKUP(Table1[[#This Row],[Contact Tempo]],Tempo[Contact Tempo],Tempo[Time Decay],"Never")</f>
        <v>Never</v>
      </c>
      <c r="H346" t="str">
        <f>IF(ISBLANK(Table1[[#This Row],[City]]),"",IF(AND(Table1[[#This Row],[Country]]=Settings!$A$2, Table1[[#This Row],[City]]=Settings!$B$2),"Yes","No"))</f>
        <v/>
      </c>
      <c r="I346" t="str">
        <f>Table1[[#This Row],[Country]]&amp;Table1[[#This Row],[City]]</f>
        <v/>
      </c>
    </row>
    <row r="347" spans="1:9" x14ac:dyDescent="0.2">
      <c r="A347" s="4" t="str">
        <f ca="1">IF(K347="","",TODAY()-Table1[[#This Row],[Last Contacted]])</f>
        <v/>
      </c>
      <c r="B347" s="4" t="str">
        <f>_xlfn.XLOOKUP(Table1[[#This Row],[Contact Tempo]],Tempo[Contact Tempo],Tempo[Time Decay],"Never")</f>
        <v>Never</v>
      </c>
      <c r="H347" t="str">
        <f>IF(ISBLANK(Table1[[#This Row],[City]]),"",IF(AND(Table1[[#This Row],[Country]]=Settings!$A$2, Table1[[#This Row],[City]]=Settings!$B$2),"Yes","No"))</f>
        <v/>
      </c>
      <c r="I347" t="str">
        <f>Table1[[#This Row],[Country]]&amp;Table1[[#This Row],[City]]</f>
        <v/>
      </c>
    </row>
    <row r="348" spans="1:9" x14ac:dyDescent="0.2">
      <c r="A348" s="4" t="str">
        <f ca="1">IF(K348="","",TODAY()-Table1[[#This Row],[Last Contacted]])</f>
        <v/>
      </c>
      <c r="B348" s="4" t="str">
        <f>_xlfn.XLOOKUP(Table1[[#This Row],[Contact Tempo]],Tempo[Contact Tempo],Tempo[Time Decay],"Never")</f>
        <v>Never</v>
      </c>
      <c r="H348" t="str">
        <f>IF(ISBLANK(Table1[[#This Row],[City]]),"",IF(AND(Table1[[#This Row],[Country]]=Settings!$A$2, Table1[[#This Row],[City]]=Settings!$B$2),"Yes","No"))</f>
        <v/>
      </c>
      <c r="I348" t="str">
        <f>Table1[[#This Row],[Country]]&amp;Table1[[#This Row],[City]]</f>
        <v/>
      </c>
    </row>
    <row r="349" spans="1:9" x14ac:dyDescent="0.2">
      <c r="A349" s="4" t="str">
        <f ca="1">IF(K349="","",TODAY()-Table1[[#This Row],[Last Contacted]])</f>
        <v/>
      </c>
      <c r="B349" s="4" t="str">
        <f>_xlfn.XLOOKUP(Table1[[#This Row],[Contact Tempo]],Tempo[Contact Tempo],Tempo[Time Decay],"Never")</f>
        <v>Never</v>
      </c>
      <c r="H349" t="str">
        <f>IF(ISBLANK(Table1[[#This Row],[City]]),"",IF(AND(Table1[[#This Row],[Country]]=Settings!$A$2, Table1[[#This Row],[City]]=Settings!$B$2),"Yes","No"))</f>
        <v/>
      </c>
      <c r="I349" t="str">
        <f>Table1[[#This Row],[Country]]&amp;Table1[[#This Row],[City]]</f>
        <v/>
      </c>
    </row>
    <row r="350" spans="1:9" x14ac:dyDescent="0.2">
      <c r="A350" s="4" t="str">
        <f ca="1">IF(K350="","",TODAY()-Table1[[#This Row],[Last Contacted]])</f>
        <v/>
      </c>
      <c r="B350" s="4" t="str">
        <f>_xlfn.XLOOKUP(Table1[[#This Row],[Contact Tempo]],Tempo[Contact Tempo],Tempo[Time Decay],"Never")</f>
        <v>Never</v>
      </c>
      <c r="H350" t="str">
        <f>IF(ISBLANK(Table1[[#This Row],[City]]),"",IF(AND(Table1[[#This Row],[Country]]=Settings!$A$2, Table1[[#This Row],[City]]=Settings!$B$2),"Yes","No"))</f>
        <v/>
      </c>
      <c r="I350" t="str">
        <f>Table1[[#This Row],[Country]]&amp;Table1[[#This Row],[City]]</f>
        <v/>
      </c>
    </row>
  </sheetData>
  <conditionalFormatting sqref="C2:C350">
    <cfRule type="expression" dxfId="7" priority="1">
      <formula>A2&gt;B2</formula>
    </cfRule>
  </conditionalFormatting>
  <hyperlinks>
    <hyperlink ref="O4" r:id="rId1" display="mailto:r.crescenzi@lse.ac.uk" xr:uid="{C152FCE2-DB82-5448-873A-58F56CCAAB8C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1673E2-4905-FB41-ADDF-C3D4676F2B3B}">
          <x14:formula1>
            <xm:f>Settings!$C:$C</xm:f>
          </x14:formula1>
          <xm:sqref>L7:L1048576 L1:L5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C477C-1BE4-A945-BB48-2176868A5F04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2F8CF-D139-4140-91AF-908AE7223FD3}">
  <sheetPr codeName="Sheet3"/>
  <dimension ref="A1:H7"/>
  <sheetViews>
    <sheetView workbookViewId="0">
      <selection activeCell="H2" sqref="H2"/>
    </sheetView>
  </sheetViews>
  <sheetFormatPr baseColWidth="10" defaultRowHeight="16" x14ac:dyDescent="0.2"/>
  <cols>
    <col min="3" max="3" width="15.83203125" customWidth="1"/>
    <col min="4" max="4" width="12.83203125" customWidth="1"/>
    <col min="5" max="6" width="0" hidden="1" customWidth="1"/>
  </cols>
  <sheetData>
    <row r="1" spans="1:8" ht="18" customHeight="1" x14ac:dyDescent="0.2">
      <c r="A1" t="s">
        <v>22</v>
      </c>
      <c r="B1" t="s">
        <v>21</v>
      </c>
      <c r="C1" t="s">
        <v>26</v>
      </c>
      <c r="D1" t="s">
        <v>23</v>
      </c>
      <c r="E1" t="s">
        <v>32</v>
      </c>
      <c r="F1" t="s">
        <v>49</v>
      </c>
      <c r="H1" t="s">
        <v>54</v>
      </c>
    </row>
    <row r="2" spans="1:8" x14ac:dyDescent="0.2">
      <c r="A2" t="s">
        <v>51</v>
      </c>
      <c r="B2" t="s">
        <v>44</v>
      </c>
      <c r="C2" t="s">
        <v>27</v>
      </c>
      <c r="D2">
        <v>4</v>
      </c>
      <c r="E2" t="str">
        <f>A2&amp;B2</f>
        <v>UkLondon</v>
      </c>
      <c r="F2" t="e">
        <f>_xlfn.XLOOKUP(E2,#REF!,#REF!, "Unknown")</f>
        <v>#REF!</v>
      </c>
      <c r="H2" t="s">
        <v>56</v>
      </c>
    </row>
    <row r="3" spans="1:8" x14ac:dyDescent="0.2">
      <c r="C3" t="s">
        <v>28</v>
      </c>
      <c r="D3">
        <v>7</v>
      </c>
      <c r="H3" t="s">
        <v>55</v>
      </c>
    </row>
    <row r="4" spans="1:8" x14ac:dyDescent="0.2">
      <c r="C4" t="s">
        <v>29</v>
      </c>
      <c r="D4">
        <v>30</v>
      </c>
    </row>
    <row r="5" spans="1:8" x14ac:dyDescent="0.2">
      <c r="C5" t="s">
        <v>30</v>
      </c>
      <c r="D5">
        <v>90</v>
      </c>
      <c r="H5" t="s">
        <v>57</v>
      </c>
    </row>
    <row r="6" spans="1:8" x14ac:dyDescent="0.2">
      <c r="C6" t="s">
        <v>31</v>
      </c>
      <c r="D6" t="s">
        <v>53</v>
      </c>
    </row>
    <row r="7" spans="1:8" x14ac:dyDescent="0.2">
      <c r="H7" t="s">
        <v>58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Friends</vt:lpstr>
      <vt:lpstr>Archived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Butt,KA (pgt)</dc:creator>
  <cp:lastModifiedBy>Butt,KA (pgt)</cp:lastModifiedBy>
  <dcterms:created xsi:type="dcterms:W3CDTF">2025-08-16T21:06:43Z</dcterms:created>
  <dcterms:modified xsi:type="dcterms:W3CDTF">2025-09-26T20:26:33Z</dcterms:modified>
</cp:coreProperties>
</file>